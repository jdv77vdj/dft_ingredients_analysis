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90D0\EXCELCNV\2488af59-8116-4ff9-9729-a2556e876ad8\"/>
    </mc:Choice>
  </mc:AlternateContent>
  <xr:revisionPtr revIDLastSave="0" documentId="8_{AAA17AFF-B15A-44F9-9F0E-A77D7B896F89}" xr6:coauthVersionLast="47" xr6:coauthVersionMax="47" xr10:uidLastSave="{00000000-0000-0000-0000-000000000000}"/>
  <bookViews>
    <workbookView xWindow="-60" yWindow="-60" windowWidth="15480" windowHeight="11640" firstSheet="4" activeTab="4" xr2:uid="{146C87D8-9B5A-4555-B68A-0B9958B7B672}"/>
  </bookViews>
  <sheets>
    <sheet name="raw_data" sheetId="1" r:id="rId1"/>
    <sheet name="Formation_Energies" sheetId="2" r:id="rId2"/>
    <sheet name="Printing_form_energies" sheetId="4" r:id="rId3"/>
    <sheet name="table_plot" sheetId="5" r:id="rId4"/>
    <sheet name="Mod_Form_Energie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/>
  <c r="B3" i="2" a="1"/>
  <c r="B3" i="2"/>
  <c r="B2" i="2" a="1"/>
  <c r="B2" i="2"/>
  <c r="M37" i="1"/>
  <c r="B10" i="3" a="1"/>
  <c r="B10" i="3"/>
  <c r="J9" i="3"/>
  <c r="J8" i="3"/>
  <c r="J7" i="3"/>
  <c r="J6" i="3"/>
  <c r="J5" i="3"/>
  <c r="J4" i="3"/>
  <c r="J3" i="3"/>
  <c r="J2" i="3"/>
  <c r="I9" i="3"/>
  <c r="I7" i="3"/>
  <c r="I6" i="3"/>
  <c r="I5" i="3"/>
  <c r="I4" i="3"/>
  <c r="I3" i="3"/>
  <c r="I2" i="3"/>
  <c r="I8" i="3"/>
  <c r="F10" i="3" a="1"/>
  <c r="F10" i="3"/>
  <c r="E10" i="3" a="1"/>
  <c r="E10" i="3"/>
  <c r="D10" i="3" a="1"/>
  <c r="D10" i="3"/>
  <c r="C10" i="3" a="1"/>
  <c r="C10" i="3"/>
  <c r="B6" i="2" a="1"/>
  <c r="B6" i="2"/>
  <c r="F3" i="2" a="1"/>
  <c r="F3" i="2"/>
  <c r="M67" i="1"/>
  <c r="M5" i="1"/>
  <c r="M7" i="1"/>
  <c r="M9" i="1"/>
  <c r="M11" i="1"/>
  <c r="M13" i="1"/>
  <c r="M15" i="1"/>
  <c r="M17" i="1"/>
  <c r="M19" i="1"/>
  <c r="M21" i="1"/>
  <c r="M23" i="1"/>
  <c r="M25" i="1"/>
  <c r="M27" i="1"/>
  <c r="M29" i="1"/>
  <c r="M31" i="1"/>
  <c r="M33" i="1"/>
  <c r="M35" i="1"/>
  <c r="M39" i="1"/>
  <c r="M41" i="1"/>
  <c r="M43" i="1"/>
  <c r="M45" i="1"/>
  <c r="M47" i="1"/>
  <c r="M49" i="1"/>
  <c r="M51" i="1"/>
  <c r="M53" i="1"/>
  <c r="M55" i="1"/>
  <c r="M57" i="1"/>
  <c r="M59" i="1"/>
  <c r="M61" i="1"/>
  <c r="M63" i="1"/>
  <c r="M65" i="1"/>
  <c r="M69" i="1"/>
  <c r="M71" i="1"/>
  <c r="M73" i="1"/>
  <c r="M75" i="1"/>
  <c r="M77" i="1"/>
  <c r="M79" i="1"/>
  <c r="M81" i="1"/>
  <c r="M3" i="1"/>
  <c r="F4" i="2" a="1"/>
  <c r="F4" i="2"/>
  <c r="F5" i="2" a="1"/>
  <c r="F5" i="2"/>
  <c r="F6" i="2" a="1"/>
  <c r="F6" i="2"/>
  <c r="F7" i="2" a="1"/>
  <c r="F7" i="2"/>
  <c r="F8" i="2" a="1"/>
  <c r="F8" i="2"/>
  <c r="F9" i="2" a="1"/>
  <c r="F9" i="2"/>
  <c r="F2" i="2" a="1"/>
  <c r="F2" i="2"/>
  <c r="E3" i="2" a="1"/>
  <c r="E3" i="2"/>
  <c r="E4" i="2" a="1"/>
  <c r="E4" i="2"/>
  <c r="E5" i="2" a="1"/>
  <c r="E5" i="2"/>
  <c r="E6" i="2" a="1"/>
  <c r="E6" i="2"/>
  <c r="E7" i="2" a="1"/>
  <c r="E7" i="2"/>
  <c r="E8" i="2" a="1"/>
  <c r="E8" i="2"/>
  <c r="E9" i="2" a="1"/>
  <c r="E9" i="2"/>
  <c r="E2" i="2" a="1"/>
  <c r="E2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2" i="2" a="1"/>
  <c r="D2" i="2"/>
  <c r="C2" i="2" a="1"/>
  <c r="C2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B4" i="2" a="1"/>
  <c r="B4" i="2"/>
  <c r="B5" i="2" a="1"/>
  <c r="B5" i="2"/>
  <c r="B7" i="2" a="1"/>
  <c r="B7" i="2"/>
  <c r="B8" i="2" a="1"/>
  <c r="B8" i="2"/>
  <c r="B9" i="2" a="1"/>
  <c r="B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<sst xmlns="http://schemas.openxmlformats.org/spreadsheetml/2006/main" count="652" uniqueCount="57">
  <si>
    <t>Functional</t>
  </si>
  <si>
    <t>Metal</t>
  </si>
  <si>
    <t>System</t>
  </si>
  <si>
    <t>Type</t>
  </si>
  <si>
    <t>Steps</t>
  </si>
  <si>
    <t>Converged</t>
  </si>
  <si>
    <t>Runtime</t>
  </si>
  <si>
    <t>CPUtime</t>
  </si>
  <si>
    <t>Memory</t>
  </si>
  <si>
    <t>TotalEnergy</t>
  </si>
  <si>
    <t>lda</t>
  </si>
  <si>
    <t>bulk_Ag</t>
  </si>
  <si>
    <t>pristine_supercell</t>
  </si>
  <si>
    <t>main</t>
  </si>
  <si>
    <t>Yes</t>
  </si>
  <si>
    <t>defective_supercell</t>
  </si>
  <si>
    <t>bulk_Al</t>
  </si>
  <si>
    <t>bulk_Au</t>
  </si>
  <si>
    <t>bulk_Cu</t>
  </si>
  <si>
    <t>bulk_Ni</t>
  </si>
  <si>
    <t>bulk_Pb</t>
  </si>
  <si>
    <t>bulk_Pd</t>
  </si>
  <si>
    <t>bulk_Pt</t>
  </si>
  <si>
    <t>pbe</t>
  </si>
  <si>
    <t>scan</t>
  </si>
  <si>
    <t>N/A</t>
  </si>
  <si>
    <t>Missing</t>
  </si>
  <si>
    <t>r2scan</t>
  </si>
  <si>
    <t>lak</t>
  </si>
  <si>
    <t>Solids</t>
  </si>
  <si>
    <t>LDA</t>
  </si>
  <si>
    <t>PBE</t>
  </si>
  <si>
    <t>SCAN</t>
  </si>
  <si>
    <t>r2SCAN</t>
  </si>
  <si>
    <t>LAK</t>
  </si>
  <si>
    <t>Expt</t>
  </si>
  <si>
    <t>N</t>
  </si>
  <si>
    <t>Ag</t>
  </si>
  <si>
    <t>Al</t>
  </si>
  <si>
    <t>Au</t>
  </si>
  <si>
    <t>Cu</t>
  </si>
  <si>
    <t>Ni</t>
  </si>
  <si>
    <t>Pb</t>
  </si>
  <si>
    <t>Pd</t>
  </si>
  <si>
    <t>Pt</t>
  </si>
  <si>
    <t>Recommended Expt</t>
  </si>
  <si>
    <t>MAE per metal</t>
  </si>
  <si>
    <t>Std dev (STDEV.P)</t>
  </si>
  <si>
    <t>1.2, 1.40, 1.45, 1.68, 1.79, 1.80</t>
  </si>
  <si>
    <t>1.4, 1.5, 1.85, 1.87</t>
  </si>
  <si>
    <t>1.15, 1.26, 1.32, 1.35, 1.44, 1.60, 1.70</t>
  </si>
  <si>
    <t>0.92, 1.00, 1.04, 1.27, 1.30, 1.42, 1.49</t>
  </si>
  <si>
    <t>1.06, 1.11, 1.19, 1.31</t>
  </si>
  <si>
    <t>0.85, 0.89, 0.93, 0.95, 0.98, 1.00, 1.02</t>
  </si>
  <si>
    <t>0.60, 0.66,  0.68, 0.77, 0.80, 0.82, 1.17</t>
  </si>
  <si>
    <t>0.47, 0.58, 0.70</t>
  </si>
  <si>
    <t>MAE per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</si>
</sst>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2" fontId="18" fillId="0" borderId="0" xfId="0" applyNumberFormat="1" applyFont="1"/>
    <xf numFmtId="2" fontId="18" fillId="0" borderId="0" xfId="0" applyNumberFormat="1" applyFont="1" applyAlignment="1">
      <alignment wrapText="1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F0AF-0032-4981-9BF0-1470DCF8207E}">
  <dimension ref="A1:M81"/>
  <sheetViews>
    <sheetView topLeftCell="A27" workbookViewId="0">
      <selection activeCell="M38" sqref="M38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1</v>
      </c>
    </row>
    <row r="2" spans="1:13">
      <c r="A2" s="4" t="s">
        <v>10</v>
      </c>
      <c r="B2" s="4" t="s">
        <v>11</v>
      </c>
      <c r="C2" s="4" t="s">
        <v>12</v>
      </c>
      <c r="D2" s="4" t="s">
        <v>13</v>
      </c>
      <c r="E2" s="4">
        <v>13</v>
      </c>
      <c r="F2" s="4" t="s">
        <v>14</v>
      </c>
      <c r="G2" s="4">
        <v>2682.4290000000001</v>
      </c>
      <c r="H2" s="4">
        <v>4712.8490000000002</v>
      </c>
      <c r="I2" s="4">
        <v>1895540</v>
      </c>
      <c r="J2" s="4">
        <v>-54.617988580000002</v>
      </c>
      <c r="K2" s="4" t="s">
        <v>12</v>
      </c>
      <c r="L2" s="4" t="s">
        <v>11</v>
      </c>
    </row>
    <row r="3" spans="1:13">
      <c r="A3" s="4" t="s">
        <v>10</v>
      </c>
      <c r="B3" s="4" t="s">
        <v>11</v>
      </c>
      <c r="C3" s="4" t="s">
        <v>15</v>
      </c>
      <c r="D3" s="4" t="s">
        <v>13</v>
      </c>
      <c r="E3" s="4">
        <v>13</v>
      </c>
      <c r="F3" s="4" t="s">
        <v>14</v>
      </c>
      <c r="G3" s="4">
        <v>2697.556</v>
      </c>
      <c r="H3" s="4">
        <v>4732.6549999999997</v>
      </c>
      <c r="I3" s="4">
        <v>1892844</v>
      </c>
      <c r="J3" s="4">
        <v>-51.663879000000001</v>
      </c>
      <c r="K3" s="4" t="s">
        <v>15</v>
      </c>
      <c r="L3" s="4" t="s">
        <v>11</v>
      </c>
      <c r="M3">
        <f>J3-(31/32)*J2</f>
        <v>1.2472974368750016</v>
      </c>
    </row>
    <row r="4" spans="1:13">
      <c r="A4" s="4" t="s">
        <v>10</v>
      </c>
      <c r="B4" s="4" t="s">
        <v>16</v>
      </c>
      <c r="C4" s="4" t="s">
        <v>12</v>
      </c>
      <c r="D4" s="4" t="s">
        <v>13</v>
      </c>
      <c r="E4" s="4">
        <v>12</v>
      </c>
      <c r="F4" s="4" t="s">
        <v>14</v>
      </c>
      <c r="G4" s="4">
        <v>1434.413</v>
      </c>
      <c r="H4" s="4">
        <v>2483.6860000000001</v>
      </c>
      <c r="I4" s="4">
        <v>1220792</v>
      </c>
      <c r="J4" s="4">
        <v>-133.99150028</v>
      </c>
      <c r="K4" s="4" t="s">
        <v>12</v>
      </c>
      <c r="L4" s="4" t="s">
        <v>16</v>
      </c>
    </row>
    <row r="5" spans="1:13">
      <c r="A5" s="4" t="s">
        <v>10</v>
      </c>
      <c r="B5" s="4" t="s">
        <v>16</v>
      </c>
      <c r="C5" s="4" t="s">
        <v>15</v>
      </c>
      <c r="D5" s="4" t="s">
        <v>13</v>
      </c>
      <c r="E5" s="4">
        <v>12</v>
      </c>
      <c r="F5" s="4" t="s">
        <v>14</v>
      </c>
      <c r="G5" s="4">
        <v>1424.5519999999999</v>
      </c>
      <c r="H5" s="4">
        <v>2464.904</v>
      </c>
      <c r="I5" s="4">
        <v>1220040</v>
      </c>
      <c r="J5" s="4">
        <v>-128.97581374999999</v>
      </c>
      <c r="K5" s="4" t="s">
        <v>15</v>
      </c>
      <c r="L5" s="4" t="s">
        <v>16</v>
      </c>
      <c r="M5">
        <f t="shared" ref="M4:M67" si="0">J5-(31/32)*J4</f>
        <v>0.82845214625001518</v>
      </c>
    </row>
    <row r="6" spans="1:13">
      <c r="A6" s="4" t="s">
        <v>10</v>
      </c>
      <c r="B6" s="4" t="s">
        <v>17</v>
      </c>
      <c r="C6" s="4" t="s">
        <v>12</v>
      </c>
      <c r="D6" s="4" t="s">
        <v>13</v>
      </c>
      <c r="E6" s="4">
        <v>12</v>
      </c>
      <c r="F6" s="4" t="s">
        <v>14</v>
      </c>
      <c r="G6" s="4">
        <v>2257.67</v>
      </c>
      <c r="H6" s="4">
        <v>3917.2689999999998</v>
      </c>
      <c r="I6" s="4">
        <v>1495432</v>
      </c>
      <c r="J6" s="4">
        <v>-121.31066315</v>
      </c>
      <c r="K6" s="4" t="s">
        <v>12</v>
      </c>
      <c r="L6" s="4" t="s">
        <v>17</v>
      </c>
    </row>
    <row r="7" spans="1:13">
      <c r="A7" s="4" t="s">
        <v>10</v>
      </c>
      <c r="B7" s="4" t="s">
        <v>17</v>
      </c>
      <c r="C7" s="4" t="s">
        <v>15</v>
      </c>
      <c r="D7" s="4" t="s">
        <v>13</v>
      </c>
      <c r="E7" s="4">
        <v>13</v>
      </c>
      <c r="F7" s="4" t="s">
        <v>14</v>
      </c>
      <c r="G7" s="4">
        <v>2528.9650000000001</v>
      </c>
      <c r="H7" s="4">
        <v>4427.0230000000001</v>
      </c>
      <c r="I7" s="4">
        <v>1507288</v>
      </c>
      <c r="J7" s="4">
        <v>-116.6798715</v>
      </c>
      <c r="K7" s="4" t="s">
        <v>15</v>
      </c>
      <c r="L7" s="4" t="s">
        <v>17</v>
      </c>
      <c r="M7">
        <f t="shared" si="0"/>
        <v>0.83983342656249249</v>
      </c>
    </row>
    <row r="8" spans="1:13">
      <c r="A8" s="4" t="s">
        <v>10</v>
      </c>
      <c r="B8" s="4" t="s">
        <v>18</v>
      </c>
      <c r="C8" s="4" t="s">
        <v>12</v>
      </c>
      <c r="D8" s="4" t="s">
        <v>13</v>
      </c>
      <c r="E8" s="4">
        <v>13</v>
      </c>
      <c r="F8" s="4" t="s">
        <v>14</v>
      </c>
      <c r="G8" s="4">
        <v>2622.4479999999999</v>
      </c>
      <c r="H8" s="4">
        <v>4639.4059999999999</v>
      </c>
      <c r="I8" s="4">
        <v>1423068</v>
      </c>
      <c r="J8" s="4">
        <v>-154.36294591999999</v>
      </c>
      <c r="K8" s="4" t="s">
        <v>12</v>
      </c>
      <c r="L8" s="4" t="s">
        <v>18</v>
      </c>
    </row>
    <row r="9" spans="1:13">
      <c r="A9" s="4" t="s">
        <v>10</v>
      </c>
      <c r="B9" s="4" t="s">
        <v>18</v>
      </c>
      <c r="C9" s="4" t="s">
        <v>15</v>
      </c>
      <c r="D9" s="4" t="s">
        <v>13</v>
      </c>
      <c r="E9" s="4">
        <v>16</v>
      </c>
      <c r="F9" s="4" t="s">
        <v>14</v>
      </c>
      <c r="G9" s="4">
        <v>3266.0450000000001</v>
      </c>
      <c r="H9" s="4">
        <v>5817.7449999999999</v>
      </c>
      <c r="I9" s="4">
        <v>1421516</v>
      </c>
      <c r="J9" s="4">
        <v>-148.02489464999999</v>
      </c>
      <c r="K9" s="4" t="s">
        <v>15</v>
      </c>
      <c r="L9" s="4" t="s">
        <v>18</v>
      </c>
      <c r="M9">
        <f t="shared" si="0"/>
        <v>1.51420920999999</v>
      </c>
    </row>
    <row r="10" spans="1:13">
      <c r="A10" s="4" t="s">
        <v>10</v>
      </c>
      <c r="B10" s="4" t="s">
        <v>19</v>
      </c>
      <c r="C10" s="4" t="s">
        <v>12</v>
      </c>
      <c r="D10" s="4" t="s">
        <v>13</v>
      </c>
      <c r="E10" s="4">
        <v>15</v>
      </c>
      <c r="F10" s="4" t="s">
        <v>14</v>
      </c>
      <c r="G10" s="4">
        <v>24518.548999999999</v>
      </c>
      <c r="H10" s="4">
        <v>41877.75</v>
      </c>
      <c r="I10" s="4">
        <v>2170652</v>
      </c>
      <c r="J10" s="4">
        <v>-237.47686519000001</v>
      </c>
      <c r="K10" s="4" t="s">
        <v>12</v>
      </c>
      <c r="L10" s="4" t="s">
        <v>19</v>
      </c>
    </row>
    <row r="11" spans="1:13">
      <c r="A11" s="4" t="s">
        <v>10</v>
      </c>
      <c r="B11" s="4" t="s">
        <v>19</v>
      </c>
      <c r="C11" s="4" t="s">
        <v>15</v>
      </c>
      <c r="D11" s="4" t="s">
        <v>13</v>
      </c>
      <c r="E11" s="4">
        <v>22</v>
      </c>
      <c r="F11" s="4" t="s">
        <v>14</v>
      </c>
      <c r="G11" s="4">
        <v>1731.7360000000001</v>
      </c>
      <c r="H11" s="4">
        <v>3110.4349999999999</v>
      </c>
      <c r="I11" s="4">
        <v>2552348</v>
      </c>
      <c r="J11" s="4">
        <v>-228.02184642</v>
      </c>
      <c r="K11" s="4" t="s">
        <v>15</v>
      </c>
      <c r="L11" s="4" t="s">
        <v>19</v>
      </c>
      <c r="M11">
        <f t="shared" si="0"/>
        <v>2.0338667328124984</v>
      </c>
    </row>
    <row r="12" spans="1:13">
      <c r="A12" s="4" t="s">
        <v>10</v>
      </c>
      <c r="B12" s="4" t="s">
        <v>20</v>
      </c>
      <c r="C12" s="4" t="s">
        <v>12</v>
      </c>
      <c r="D12" s="4" t="s">
        <v>13</v>
      </c>
      <c r="E12" s="4">
        <v>13</v>
      </c>
      <c r="F12" s="4" t="s">
        <v>14</v>
      </c>
      <c r="G12" s="4">
        <v>7509.15</v>
      </c>
      <c r="H12" s="4">
        <v>13782.207</v>
      </c>
      <c r="I12" s="4">
        <v>3191288</v>
      </c>
      <c r="J12" s="4">
        <v>-136.36581186999999</v>
      </c>
      <c r="K12" s="4" t="s">
        <v>12</v>
      </c>
      <c r="L12" s="4" t="s">
        <v>20</v>
      </c>
    </row>
    <row r="13" spans="1:13">
      <c r="A13" s="4" t="s">
        <v>10</v>
      </c>
      <c r="B13" s="4" t="s">
        <v>20</v>
      </c>
      <c r="C13" s="4" t="s">
        <v>15</v>
      </c>
      <c r="D13" s="4" t="s">
        <v>13</v>
      </c>
      <c r="E13" s="4">
        <v>13</v>
      </c>
      <c r="F13" s="4" t="s">
        <v>14</v>
      </c>
      <c r="G13" s="4">
        <v>7547.7969999999996</v>
      </c>
      <c r="H13" s="4">
        <v>13890.075999999999</v>
      </c>
      <c r="I13" s="4">
        <v>3180376</v>
      </c>
      <c r="J13" s="4">
        <v>-131.48274407</v>
      </c>
      <c r="K13" s="4" t="s">
        <v>15</v>
      </c>
      <c r="L13" s="4" t="s">
        <v>20</v>
      </c>
      <c r="M13">
        <f t="shared" si="0"/>
        <v>0.62163617906250579</v>
      </c>
    </row>
    <row r="14" spans="1:13">
      <c r="A14" s="4" t="s">
        <v>10</v>
      </c>
      <c r="B14" s="4" t="s">
        <v>21</v>
      </c>
      <c r="C14" s="4" t="s">
        <v>12</v>
      </c>
      <c r="D14" s="4" t="s">
        <v>13</v>
      </c>
      <c r="E14" s="4">
        <v>17</v>
      </c>
      <c r="F14" s="4" t="s">
        <v>14</v>
      </c>
      <c r="G14" s="4">
        <v>6416.2749999999996</v>
      </c>
      <c r="H14" s="4">
        <v>11294.037</v>
      </c>
      <c r="I14" s="4">
        <v>2385736</v>
      </c>
      <c r="J14" s="4">
        <v>-160.92558783000001</v>
      </c>
      <c r="K14" s="4" t="s">
        <v>12</v>
      </c>
      <c r="L14" s="4" t="s">
        <v>21</v>
      </c>
    </row>
    <row r="15" spans="1:13">
      <c r="A15" s="4" t="s">
        <v>10</v>
      </c>
      <c r="B15" s="4" t="s">
        <v>21</v>
      </c>
      <c r="C15" s="4" t="s">
        <v>15</v>
      </c>
      <c r="D15" s="4" t="s">
        <v>13</v>
      </c>
      <c r="E15" s="4">
        <v>24</v>
      </c>
      <c r="F15" s="4" t="s">
        <v>14</v>
      </c>
      <c r="G15" s="4">
        <v>9316.8209999999999</v>
      </c>
      <c r="H15" s="4">
        <v>16670.848000000002</v>
      </c>
      <c r="I15" s="4">
        <v>2368348</v>
      </c>
      <c r="J15" s="4">
        <v>-154.11684273</v>
      </c>
      <c r="K15" s="4" t="s">
        <v>15</v>
      </c>
      <c r="L15" s="4" t="s">
        <v>21</v>
      </c>
      <c r="M15">
        <f t="shared" si="0"/>
        <v>1.7798204803125088</v>
      </c>
    </row>
    <row r="16" spans="1:13">
      <c r="A16" s="4" t="s">
        <v>10</v>
      </c>
      <c r="B16" s="4" t="s">
        <v>22</v>
      </c>
      <c r="C16" s="4" t="s">
        <v>12</v>
      </c>
      <c r="D16" s="4" t="s">
        <v>13</v>
      </c>
      <c r="E16" s="4">
        <v>12</v>
      </c>
      <c r="F16" s="4" t="s">
        <v>14</v>
      </c>
      <c r="G16" s="4">
        <v>1668.42</v>
      </c>
      <c r="H16" s="4">
        <v>2826.1320000000001</v>
      </c>
      <c r="I16" s="4">
        <v>1334756</v>
      </c>
      <c r="J16" s="4">
        <v>-234.57737617000001</v>
      </c>
      <c r="K16" s="4" t="s">
        <v>12</v>
      </c>
      <c r="L16" s="4" t="s">
        <v>22</v>
      </c>
    </row>
    <row r="17" spans="1:13">
      <c r="A17" s="4" t="s">
        <v>10</v>
      </c>
      <c r="B17" s="4" t="s">
        <v>22</v>
      </c>
      <c r="C17" s="4" t="s">
        <v>15</v>
      </c>
      <c r="D17" s="4" t="s">
        <v>13</v>
      </c>
      <c r="E17" s="4">
        <v>23</v>
      </c>
      <c r="F17" s="4" t="s">
        <v>14</v>
      </c>
      <c r="G17" s="4">
        <v>3015.79</v>
      </c>
      <c r="H17" s="4">
        <v>5266.3850000000002</v>
      </c>
      <c r="I17" s="4">
        <v>1336388</v>
      </c>
      <c r="J17" s="4">
        <v>-225.81153461</v>
      </c>
      <c r="K17" s="4" t="s">
        <v>15</v>
      </c>
      <c r="L17" s="4" t="s">
        <v>22</v>
      </c>
      <c r="M17">
        <f t="shared" si="0"/>
        <v>1.4352985546875061</v>
      </c>
    </row>
    <row r="18" spans="1:13">
      <c r="A18" s="5" t="s">
        <v>23</v>
      </c>
      <c r="B18" s="5" t="s">
        <v>11</v>
      </c>
      <c r="C18" s="5" t="s">
        <v>12</v>
      </c>
      <c r="D18" s="5" t="s">
        <v>13</v>
      </c>
      <c r="E18" s="5">
        <v>14</v>
      </c>
      <c r="F18" s="5" t="s">
        <v>14</v>
      </c>
      <c r="G18" s="5">
        <v>2966.9589999999998</v>
      </c>
      <c r="H18" s="5">
        <v>9971.0030000000006</v>
      </c>
      <c r="I18" s="5">
        <v>1892092</v>
      </c>
      <c r="J18" s="5">
        <v>-20.589203040000001</v>
      </c>
      <c r="K18" s="5" t="s">
        <v>12</v>
      </c>
      <c r="L18" s="5" t="s">
        <v>11</v>
      </c>
    </row>
    <row r="19" spans="1:13">
      <c r="A19" s="5" t="s">
        <v>23</v>
      </c>
      <c r="B19" s="5" t="s">
        <v>11</v>
      </c>
      <c r="C19" s="5" t="s">
        <v>15</v>
      </c>
      <c r="D19" s="5" t="s">
        <v>13</v>
      </c>
      <c r="E19" s="5">
        <v>14</v>
      </c>
      <c r="F19" s="5" t="s">
        <v>14</v>
      </c>
      <c r="G19" s="5">
        <v>2923.4839999999999</v>
      </c>
      <c r="H19" s="5">
        <v>5162.143</v>
      </c>
      <c r="I19" s="5">
        <v>1893728</v>
      </c>
      <c r="J19" s="5">
        <v>-19.30554983</v>
      </c>
      <c r="K19" s="5" t="s">
        <v>15</v>
      </c>
      <c r="L19" s="5" t="s">
        <v>11</v>
      </c>
      <c r="M19">
        <f t="shared" si="0"/>
        <v>0.64024061499999974</v>
      </c>
    </row>
    <row r="20" spans="1:13">
      <c r="A20" s="5" t="s">
        <v>23</v>
      </c>
      <c r="B20" s="5" t="s">
        <v>16</v>
      </c>
      <c r="C20" s="5" t="s">
        <v>12</v>
      </c>
      <c r="D20" s="5" t="s">
        <v>13</v>
      </c>
      <c r="E20" s="5">
        <v>19</v>
      </c>
      <c r="F20" s="5" t="s">
        <v>14</v>
      </c>
      <c r="G20" s="5">
        <v>2439.616</v>
      </c>
      <c r="H20" s="5">
        <v>4340.5940000000001</v>
      </c>
      <c r="I20" s="5">
        <v>1221396</v>
      </c>
      <c r="J20" s="5">
        <v>-120.61922557</v>
      </c>
      <c r="K20" s="5" t="s">
        <v>12</v>
      </c>
      <c r="L20" s="5" t="s">
        <v>16</v>
      </c>
    </row>
    <row r="21" spans="1:13">
      <c r="A21" s="5" t="s">
        <v>23</v>
      </c>
      <c r="B21" s="5" t="s">
        <v>16</v>
      </c>
      <c r="C21" s="5" t="s">
        <v>15</v>
      </c>
      <c r="D21" s="5" t="s">
        <v>13</v>
      </c>
      <c r="E21" s="5">
        <v>19</v>
      </c>
      <c r="F21" s="5" t="s">
        <v>14</v>
      </c>
      <c r="G21" s="5">
        <v>2400.5259999999998</v>
      </c>
      <c r="H21" s="5">
        <v>4205.8360000000002</v>
      </c>
      <c r="I21" s="5">
        <v>1220424</v>
      </c>
      <c r="J21" s="5">
        <v>-116.14952307999999</v>
      </c>
      <c r="K21" s="5" t="s">
        <v>15</v>
      </c>
      <c r="L21" s="5" t="s">
        <v>16</v>
      </c>
      <c r="M21">
        <f t="shared" si="0"/>
        <v>0.70035169093750937</v>
      </c>
    </row>
    <row r="22" spans="1:13">
      <c r="A22" s="5" t="s">
        <v>23</v>
      </c>
      <c r="B22" s="5" t="s">
        <v>17</v>
      </c>
      <c r="C22" s="5" t="s">
        <v>12</v>
      </c>
      <c r="D22" s="5" t="s">
        <v>13</v>
      </c>
      <c r="E22" s="5">
        <v>12</v>
      </c>
      <c r="F22" s="5" t="s">
        <v>14</v>
      </c>
      <c r="G22" s="5">
        <v>2430.1289999999999</v>
      </c>
      <c r="H22" s="5">
        <v>4228.3559999999998</v>
      </c>
      <c r="I22" s="5">
        <v>1508276</v>
      </c>
      <c r="J22" s="5">
        <v>-82.346625939999996</v>
      </c>
      <c r="K22" s="5" t="s">
        <v>12</v>
      </c>
      <c r="L22" s="5" t="s">
        <v>17</v>
      </c>
    </row>
    <row r="23" spans="1:13">
      <c r="A23" s="5" t="s">
        <v>23</v>
      </c>
      <c r="B23" s="5" t="s">
        <v>17</v>
      </c>
      <c r="C23" s="5" t="s">
        <v>15</v>
      </c>
      <c r="D23" s="5" t="s">
        <v>13</v>
      </c>
      <c r="E23" s="5">
        <v>15</v>
      </c>
      <c r="F23" s="5" t="s">
        <v>14</v>
      </c>
      <c r="G23" s="5">
        <v>2932.8560000000002</v>
      </c>
      <c r="H23" s="5">
        <v>5166.3230000000003</v>
      </c>
      <c r="I23" s="5">
        <v>1509832</v>
      </c>
      <c r="J23" s="5">
        <v>-79.631618169999996</v>
      </c>
      <c r="K23" s="5" t="s">
        <v>15</v>
      </c>
      <c r="L23" s="5" t="s">
        <v>17</v>
      </c>
      <c r="M23">
        <f t="shared" si="0"/>
        <v>0.14167570937499363</v>
      </c>
    </row>
    <row r="24" spans="1:13">
      <c r="A24" s="5" t="s">
        <v>23</v>
      </c>
      <c r="B24" s="5" t="s">
        <v>18</v>
      </c>
      <c r="C24" s="5" t="s">
        <v>12</v>
      </c>
      <c r="D24" s="5" t="s">
        <v>13</v>
      </c>
      <c r="E24" s="5">
        <v>14</v>
      </c>
      <c r="F24" s="5" t="s">
        <v>14</v>
      </c>
      <c r="G24" s="5">
        <v>2735.3649999999998</v>
      </c>
      <c r="H24" s="5">
        <v>4860.1670000000004</v>
      </c>
      <c r="I24" s="5">
        <v>1423468</v>
      </c>
      <c r="J24" s="5">
        <v>-121.25777193</v>
      </c>
      <c r="K24" s="5" t="s">
        <v>12</v>
      </c>
      <c r="L24" s="5" t="s">
        <v>18</v>
      </c>
    </row>
    <row r="25" spans="1:13">
      <c r="A25" s="5" t="s">
        <v>23</v>
      </c>
      <c r="B25" s="5" t="s">
        <v>18</v>
      </c>
      <c r="C25" s="5" t="s">
        <v>15</v>
      </c>
      <c r="D25" s="5" t="s">
        <v>13</v>
      </c>
      <c r="E25" s="5">
        <v>16</v>
      </c>
      <c r="F25" s="5" t="s">
        <v>14</v>
      </c>
      <c r="G25" s="5">
        <v>3125.009</v>
      </c>
      <c r="H25" s="5">
        <v>5568.8509999999997</v>
      </c>
      <c r="I25" s="5">
        <v>1421452</v>
      </c>
      <c r="J25" s="5">
        <v>-116.42907626</v>
      </c>
      <c r="K25" s="5" t="s">
        <v>15</v>
      </c>
      <c r="L25" s="5" t="s">
        <v>18</v>
      </c>
      <c r="M25">
        <f t="shared" si="0"/>
        <v>1.0393902971874951</v>
      </c>
    </row>
    <row r="26" spans="1:13">
      <c r="A26" s="5" t="s">
        <v>23</v>
      </c>
      <c r="B26" s="5" t="s">
        <v>19</v>
      </c>
      <c r="C26" s="5" t="s">
        <v>12</v>
      </c>
      <c r="D26" s="5" t="s">
        <v>13</v>
      </c>
      <c r="E26" s="5">
        <v>15</v>
      </c>
      <c r="F26" s="5" t="s">
        <v>14</v>
      </c>
      <c r="G26" s="5">
        <v>5697.2330000000002</v>
      </c>
      <c r="H26" s="5">
        <v>10084.728999999999</v>
      </c>
      <c r="I26" s="5">
        <v>1993404</v>
      </c>
      <c r="J26" s="5">
        <v>-205.42309311</v>
      </c>
      <c r="K26" s="5" t="s">
        <v>12</v>
      </c>
      <c r="L26" s="5" t="s">
        <v>19</v>
      </c>
    </row>
    <row r="27" spans="1:13">
      <c r="A27" s="5" t="s">
        <v>23</v>
      </c>
      <c r="B27" s="5" t="s">
        <v>19</v>
      </c>
      <c r="C27" s="5" t="s">
        <v>15</v>
      </c>
      <c r="D27" s="5" t="s">
        <v>13</v>
      </c>
      <c r="E27" s="5">
        <v>21</v>
      </c>
      <c r="F27" s="5" t="s">
        <v>14</v>
      </c>
      <c r="G27" s="5">
        <v>8382.3330000000005</v>
      </c>
      <c r="H27" s="5">
        <v>15014.102000000001</v>
      </c>
      <c r="I27" s="5">
        <v>1975212</v>
      </c>
      <c r="J27" s="5">
        <v>-197.53132149000001</v>
      </c>
      <c r="K27" s="5" t="s">
        <v>15</v>
      </c>
      <c r="L27" s="5" t="s">
        <v>19</v>
      </c>
      <c r="M27">
        <f t="shared" si="0"/>
        <v>1.4722999603124833</v>
      </c>
    </row>
    <row r="28" spans="1:13">
      <c r="A28" s="5" t="s">
        <v>23</v>
      </c>
      <c r="B28" s="5" t="s">
        <v>20</v>
      </c>
      <c r="C28" s="5" t="s">
        <v>12</v>
      </c>
      <c r="D28" s="5" t="s">
        <v>13</v>
      </c>
      <c r="E28" s="5">
        <v>14</v>
      </c>
      <c r="F28" s="5" t="s">
        <v>14</v>
      </c>
      <c r="G28" s="5">
        <v>7849.5820000000003</v>
      </c>
      <c r="H28" s="5">
        <v>14474.343000000001</v>
      </c>
      <c r="I28" s="5">
        <v>3192820</v>
      </c>
      <c r="J28" s="5">
        <v>-113.86922939</v>
      </c>
      <c r="K28" s="5" t="s">
        <v>12</v>
      </c>
      <c r="L28" s="5" t="s">
        <v>20</v>
      </c>
    </row>
    <row r="29" spans="1:13">
      <c r="A29" s="5" t="s">
        <v>23</v>
      </c>
      <c r="B29" s="5" t="s">
        <v>20</v>
      </c>
      <c r="C29" s="5" t="s">
        <v>15</v>
      </c>
      <c r="D29" s="5" t="s">
        <v>13</v>
      </c>
      <c r="E29" s="5">
        <v>14</v>
      </c>
      <c r="F29" s="5" t="s">
        <v>14</v>
      </c>
      <c r="G29" s="5">
        <v>7879.4930000000004</v>
      </c>
      <c r="H29" s="5">
        <v>14518.043</v>
      </c>
      <c r="I29" s="5">
        <v>3191028</v>
      </c>
      <c r="J29" s="5">
        <v>-110.09251107</v>
      </c>
      <c r="K29" s="5" t="s">
        <v>15</v>
      </c>
      <c r="L29" s="5" t="s">
        <v>20</v>
      </c>
      <c r="M29">
        <f t="shared" si="0"/>
        <v>0.21830490156250448</v>
      </c>
    </row>
    <row r="30" spans="1:13">
      <c r="A30" s="5" t="s">
        <v>23</v>
      </c>
      <c r="B30" s="5" t="s">
        <v>21</v>
      </c>
      <c r="C30" s="5" t="s">
        <v>12</v>
      </c>
      <c r="D30" s="5" t="s">
        <v>13</v>
      </c>
      <c r="E30" s="5">
        <v>18</v>
      </c>
      <c r="F30" s="5" t="s">
        <v>14</v>
      </c>
      <c r="G30" s="5">
        <v>6868.9769999999999</v>
      </c>
      <c r="H30" s="5">
        <v>12113.3</v>
      </c>
      <c r="I30" s="5">
        <v>2386260</v>
      </c>
      <c r="J30" s="5">
        <v>-119.79130471000001</v>
      </c>
      <c r="K30" s="5" t="s">
        <v>12</v>
      </c>
      <c r="L30" s="5" t="s">
        <v>21</v>
      </c>
    </row>
    <row r="31" spans="1:13">
      <c r="A31" s="5" t="s">
        <v>23</v>
      </c>
      <c r="B31" s="5" t="s">
        <v>21</v>
      </c>
      <c r="C31" s="5" t="s">
        <v>15</v>
      </c>
      <c r="D31" s="5" t="s">
        <v>13</v>
      </c>
      <c r="E31" s="5">
        <v>26</v>
      </c>
      <c r="F31" s="5" t="s">
        <v>14</v>
      </c>
      <c r="G31" s="5">
        <v>10179.174999999999</v>
      </c>
      <c r="H31" s="5">
        <v>18200.009999999998</v>
      </c>
      <c r="I31" s="5">
        <v>2366704</v>
      </c>
      <c r="J31" s="5">
        <v>-114.97897690000001</v>
      </c>
      <c r="K31" s="5" t="s">
        <v>15</v>
      </c>
      <c r="L31" s="5" t="s">
        <v>21</v>
      </c>
      <c r="M31">
        <f t="shared" si="0"/>
        <v>1.0688495378124969</v>
      </c>
    </row>
    <row r="32" spans="1:13">
      <c r="A32" s="5" t="s">
        <v>23</v>
      </c>
      <c r="B32" s="5" t="s">
        <v>22</v>
      </c>
      <c r="C32" s="5" t="s">
        <v>12</v>
      </c>
      <c r="D32" s="5" t="s">
        <v>13</v>
      </c>
      <c r="E32" s="5">
        <v>15</v>
      </c>
      <c r="F32" s="5" t="s">
        <v>14</v>
      </c>
      <c r="G32" s="5">
        <v>1982.76</v>
      </c>
      <c r="H32" s="5">
        <v>3394.6869999999999</v>
      </c>
      <c r="I32" s="5">
        <v>1335980</v>
      </c>
      <c r="J32" s="5">
        <v>-193.59259205000001</v>
      </c>
      <c r="K32" s="5" t="s">
        <v>12</v>
      </c>
      <c r="L32" s="5" t="s">
        <v>22</v>
      </c>
    </row>
    <row r="33" spans="1:13">
      <c r="A33" s="5" t="s">
        <v>23</v>
      </c>
      <c r="B33" s="5" t="s">
        <v>22</v>
      </c>
      <c r="C33" s="5" t="s">
        <v>15</v>
      </c>
      <c r="D33" s="5" t="s">
        <v>13</v>
      </c>
      <c r="E33" s="5">
        <v>20</v>
      </c>
      <c r="F33" s="5" t="s">
        <v>14</v>
      </c>
      <c r="G33" s="5">
        <v>2744.2080000000001</v>
      </c>
      <c r="H33" s="5">
        <v>4732.098</v>
      </c>
      <c r="I33" s="5">
        <v>1332512</v>
      </c>
      <c r="J33" s="5">
        <v>-186.86119758999999</v>
      </c>
      <c r="K33" s="5" t="s">
        <v>15</v>
      </c>
      <c r="L33" s="5" t="s">
        <v>22</v>
      </c>
      <c r="M33">
        <f t="shared" si="0"/>
        <v>0.68162595843750751</v>
      </c>
    </row>
    <row r="34" spans="1:13">
      <c r="A34" s="6" t="s">
        <v>24</v>
      </c>
      <c r="B34" s="6" t="s">
        <v>11</v>
      </c>
      <c r="C34" s="6" t="s">
        <v>12</v>
      </c>
      <c r="D34" s="6" t="s">
        <v>13</v>
      </c>
      <c r="E34" s="6">
        <v>18</v>
      </c>
      <c r="F34" s="6" t="s">
        <v>14</v>
      </c>
      <c r="G34" s="6">
        <v>4292.3680000000004</v>
      </c>
      <c r="H34" s="6">
        <v>7771.7150000000001</v>
      </c>
      <c r="I34" s="6">
        <v>1928568</v>
      </c>
      <c r="J34" s="6">
        <v>-938.33276244000001</v>
      </c>
      <c r="K34" s="6" t="s">
        <v>12</v>
      </c>
      <c r="L34" s="6" t="s">
        <v>11</v>
      </c>
    </row>
    <row r="35" spans="1:13">
      <c r="A35" s="6" t="s">
        <v>24</v>
      </c>
      <c r="B35" s="6" t="s">
        <v>11</v>
      </c>
      <c r="C35" s="6" t="s">
        <v>15</v>
      </c>
      <c r="D35" s="6" t="s">
        <v>13</v>
      </c>
      <c r="E35" s="6">
        <v>20</v>
      </c>
      <c r="F35" s="6" t="s">
        <v>14</v>
      </c>
      <c r="G35" s="6">
        <v>4779.7700000000004</v>
      </c>
      <c r="H35" s="6">
        <v>8649.2579999999998</v>
      </c>
      <c r="I35" s="6">
        <v>1926216</v>
      </c>
      <c r="J35" s="6">
        <v>-908.13296046999994</v>
      </c>
      <c r="K35" s="6" t="s">
        <v>15</v>
      </c>
      <c r="L35" s="6" t="s">
        <v>11</v>
      </c>
      <c r="M35">
        <f t="shared" si="0"/>
        <v>0.87690314375004164</v>
      </c>
    </row>
    <row r="36" spans="1:13">
      <c r="A36" s="6" t="s">
        <v>24</v>
      </c>
      <c r="B36" s="6" t="s">
        <v>16</v>
      </c>
      <c r="C36" s="6" t="s">
        <v>12</v>
      </c>
      <c r="D36" s="6" t="s">
        <v>13</v>
      </c>
      <c r="E36" s="6">
        <v>21</v>
      </c>
      <c r="F36" s="6" t="s">
        <v>14</v>
      </c>
      <c r="G36" s="6">
        <v>226.42</v>
      </c>
      <c r="H36" s="6">
        <v>616.61599999999999</v>
      </c>
      <c r="I36" s="6">
        <v>3062096</v>
      </c>
      <c r="J36" s="6">
        <v>-247.77587568999999</v>
      </c>
      <c r="K36" s="6" t="s">
        <v>12</v>
      </c>
      <c r="L36" s="6" t="s">
        <v>16</v>
      </c>
    </row>
    <row r="37" spans="1:13">
      <c r="A37" s="6" t="s">
        <v>24</v>
      </c>
      <c r="B37" s="6" t="s">
        <v>16</v>
      </c>
      <c r="C37" s="6" t="s">
        <v>15</v>
      </c>
      <c r="D37" s="6" t="s">
        <v>13</v>
      </c>
      <c r="E37" s="6" t="s">
        <v>25</v>
      </c>
      <c r="F37" s="6" t="s">
        <v>26</v>
      </c>
      <c r="G37" s="6" t="s">
        <v>25</v>
      </c>
      <c r="H37" s="6" t="s">
        <v>25</v>
      </c>
      <c r="I37" s="6" t="s">
        <v>25</v>
      </c>
      <c r="J37" s="6">
        <v>-239.18747551000001</v>
      </c>
      <c r="K37" s="6" t="s">
        <v>15</v>
      </c>
      <c r="L37" s="6" t="s">
        <v>16</v>
      </c>
      <c r="M37">
        <f>J37-(31/32)*J36</f>
        <v>0.84540406468747165</v>
      </c>
    </row>
    <row r="38" spans="1:13">
      <c r="A38" s="6" t="s">
        <v>24</v>
      </c>
      <c r="B38" s="6" t="s">
        <v>17</v>
      </c>
      <c r="C38" s="6" t="s">
        <v>12</v>
      </c>
      <c r="D38" s="6" t="s">
        <v>13</v>
      </c>
      <c r="E38" s="6">
        <v>15</v>
      </c>
      <c r="F38" s="6" t="s">
        <v>14</v>
      </c>
      <c r="G38" s="6">
        <v>3636.5160000000001</v>
      </c>
      <c r="H38" s="6">
        <v>6535.9939999999997</v>
      </c>
      <c r="I38" s="6">
        <v>1542996</v>
      </c>
      <c r="J38" s="6">
        <v>-2191.2223451999998</v>
      </c>
      <c r="K38" s="6" t="s">
        <v>12</v>
      </c>
      <c r="L38" s="6" t="s">
        <v>17</v>
      </c>
    </row>
    <row r="39" spans="1:13">
      <c r="A39" s="6" t="s">
        <v>24</v>
      </c>
      <c r="B39" s="6" t="s">
        <v>17</v>
      </c>
      <c r="C39" s="6" t="s">
        <v>15</v>
      </c>
      <c r="D39" s="6" t="s">
        <v>13</v>
      </c>
      <c r="E39" s="6">
        <v>18</v>
      </c>
      <c r="F39" s="6" t="s">
        <v>14</v>
      </c>
      <c r="G39" s="6">
        <v>4152.1469999999999</v>
      </c>
      <c r="H39" s="6">
        <v>7535.56</v>
      </c>
      <c r="I39" s="6">
        <v>1555496</v>
      </c>
      <c r="J39" s="6">
        <v>-2122.3365290699999</v>
      </c>
      <c r="K39" s="6" t="s">
        <v>15</v>
      </c>
      <c r="L39" s="6" t="s">
        <v>17</v>
      </c>
      <c r="M39">
        <f t="shared" si="0"/>
        <v>0.41011784249985794</v>
      </c>
    </row>
    <row r="40" spans="1:13">
      <c r="A40" s="6" t="s">
        <v>24</v>
      </c>
      <c r="B40" s="6" t="s">
        <v>18</v>
      </c>
      <c r="C40" s="6" t="s">
        <v>12</v>
      </c>
      <c r="D40" s="6" t="s">
        <v>13</v>
      </c>
      <c r="E40" s="6">
        <v>20</v>
      </c>
      <c r="F40" s="6" t="s">
        <v>14</v>
      </c>
      <c r="G40" s="6">
        <v>4515.6670000000004</v>
      </c>
      <c r="H40" s="6">
        <v>8128.5540000000001</v>
      </c>
      <c r="I40" s="6">
        <v>1465156</v>
      </c>
      <c r="J40" s="6">
        <v>-487.66543961000002</v>
      </c>
      <c r="K40" s="6" t="s">
        <v>12</v>
      </c>
      <c r="L40" s="6" t="s">
        <v>18</v>
      </c>
    </row>
    <row r="41" spans="1:13">
      <c r="A41" s="6" t="s">
        <v>24</v>
      </c>
      <c r="B41" s="6" t="s">
        <v>18</v>
      </c>
      <c r="C41" s="6" t="s">
        <v>15</v>
      </c>
      <c r="D41" s="6" t="s">
        <v>13</v>
      </c>
      <c r="E41" s="6">
        <v>24</v>
      </c>
      <c r="F41" s="6" t="s">
        <v>14</v>
      </c>
      <c r="G41" s="6">
        <v>5030.2510000000002</v>
      </c>
      <c r="H41" s="6">
        <v>9069.6890000000003</v>
      </c>
      <c r="I41" s="6">
        <v>1457208</v>
      </c>
      <c r="J41" s="6">
        <v>-471.02514241</v>
      </c>
      <c r="K41" s="6" t="s">
        <v>15</v>
      </c>
      <c r="L41" s="6" t="s">
        <v>18</v>
      </c>
      <c r="M41">
        <f t="shared" si="0"/>
        <v>1.4007522121875127</v>
      </c>
    </row>
    <row r="42" spans="1:13">
      <c r="A42" s="6" t="s">
        <v>24</v>
      </c>
      <c r="B42" s="6" t="s">
        <v>19</v>
      </c>
      <c r="C42" s="6" t="s">
        <v>12</v>
      </c>
      <c r="D42" s="6" t="s">
        <v>13</v>
      </c>
      <c r="E42" s="6">
        <v>22</v>
      </c>
      <c r="F42" s="6" t="s">
        <v>14</v>
      </c>
      <c r="G42" s="6">
        <v>10019.191999999999</v>
      </c>
      <c r="H42" s="6">
        <v>17892.84</v>
      </c>
      <c r="I42" s="6">
        <v>2032660</v>
      </c>
      <c r="J42" s="6">
        <v>-547.00638598</v>
      </c>
      <c r="K42" s="6" t="s">
        <v>12</v>
      </c>
      <c r="L42" s="6" t="s">
        <v>19</v>
      </c>
    </row>
    <row r="43" spans="1:13">
      <c r="A43" s="6" t="s">
        <v>24</v>
      </c>
      <c r="B43" s="6" t="s">
        <v>19</v>
      </c>
      <c r="C43" s="6" t="s">
        <v>15</v>
      </c>
      <c r="D43" s="6" t="s">
        <v>13</v>
      </c>
      <c r="E43" s="6">
        <v>33</v>
      </c>
      <c r="F43" s="6" t="s">
        <v>14</v>
      </c>
      <c r="G43" s="6">
        <v>15222.212</v>
      </c>
      <c r="H43" s="6">
        <v>27717.437999999998</v>
      </c>
      <c r="I43" s="6">
        <v>2025364</v>
      </c>
      <c r="J43" s="6">
        <v>-528.15357447999997</v>
      </c>
      <c r="K43" s="6" t="s">
        <v>15</v>
      </c>
      <c r="L43" s="6" t="s">
        <v>19</v>
      </c>
      <c r="M43">
        <f t="shared" si="0"/>
        <v>1.758861938125051</v>
      </c>
    </row>
    <row r="44" spans="1:13">
      <c r="A44" s="6" t="s">
        <v>24</v>
      </c>
      <c r="B44" s="6" t="s">
        <v>20</v>
      </c>
      <c r="C44" s="6" t="s">
        <v>12</v>
      </c>
      <c r="D44" s="6" t="s">
        <v>13</v>
      </c>
      <c r="E44" s="6">
        <v>22</v>
      </c>
      <c r="F44" s="6" t="s">
        <v>14</v>
      </c>
      <c r="G44" s="6">
        <v>15326.111999999999</v>
      </c>
      <c r="H44" s="6">
        <v>28788.710999999999</v>
      </c>
      <c r="I44" s="6">
        <v>3321272</v>
      </c>
      <c r="J44" s="6">
        <v>-2422.0407212499999</v>
      </c>
      <c r="K44" s="6" t="s">
        <v>12</v>
      </c>
      <c r="L44" s="6" t="s">
        <v>20</v>
      </c>
    </row>
    <row r="45" spans="1:13">
      <c r="A45" s="6" t="s">
        <v>24</v>
      </c>
      <c r="B45" s="6" t="s">
        <v>20</v>
      </c>
      <c r="C45" s="6" t="s">
        <v>15</v>
      </c>
      <c r="D45" s="6" t="s">
        <v>13</v>
      </c>
      <c r="E45" s="6">
        <v>18</v>
      </c>
      <c r="F45" s="6" t="s">
        <v>14</v>
      </c>
      <c r="G45" s="6">
        <v>13282.7</v>
      </c>
      <c r="H45" s="6">
        <v>24815.937999999998</v>
      </c>
      <c r="I45" s="6">
        <v>3324056</v>
      </c>
      <c r="J45" s="6">
        <v>-2346.0840265800002</v>
      </c>
      <c r="K45" s="6" t="s">
        <v>15</v>
      </c>
      <c r="L45" s="6" t="s">
        <v>20</v>
      </c>
      <c r="M45">
        <f t="shared" si="0"/>
        <v>0.26792213093722239</v>
      </c>
    </row>
    <row r="46" spans="1:13">
      <c r="A46" s="6" t="s">
        <v>24</v>
      </c>
      <c r="B46" s="6" t="s">
        <v>21</v>
      </c>
      <c r="C46" s="6" t="s">
        <v>12</v>
      </c>
      <c r="D46" s="6" t="s">
        <v>13</v>
      </c>
      <c r="E46" s="6">
        <v>20</v>
      </c>
      <c r="F46" s="6" t="s">
        <v>14</v>
      </c>
      <c r="G46" s="6">
        <v>8989.4470000000001</v>
      </c>
      <c r="H46" s="6">
        <v>16265.271000000001</v>
      </c>
      <c r="I46" s="6">
        <v>2436044</v>
      </c>
      <c r="J46" s="6">
        <v>-1002.46704729</v>
      </c>
      <c r="K46" s="6" t="s">
        <v>12</v>
      </c>
      <c r="L46" s="6" t="s">
        <v>21</v>
      </c>
    </row>
    <row r="47" spans="1:13">
      <c r="A47" s="6" t="s">
        <v>24</v>
      </c>
      <c r="B47" s="6" t="s">
        <v>21</v>
      </c>
      <c r="C47" s="6" t="s">
        <v>15</v>
      </c>
      <c r="D47" s="6" t="s">
        <v>13</v>
      </c>
      <c r="E47" s="6">
        <v>26</v>
      </c>
      <c r="F47" s="6" t="s">
        <v>14</v>
      </c>
      <c r="G47" s="6">
        <v>12049.013999999999</v>
      </c>
      <c r="H47" s="6">
        <v>22049.460999999999</v>
      </c>
      <c r="I47" s="6">
        <v>2426500</v>
      </c>
      <c r="J47" s="6">
        <v>-969.81622277999998</v>
      </c>
      <c r="K47" s="6" t="s">
        <v>15</v>
      </c>
      <c r="L47" s="6" t="s">
        <v>21</v>
      </c>
      <c r="M47">
        <f t="shared" si="0"/>
        <v>1.3237292821875144</v>
      </c>
    </row>
    <row r="48" spans="1:13">
      <c r="A48" s="6" t="s">
        <v>24</v>
      </c>
      <c r="B48" s="6" t="s">
        <v>22</v>
      </c>
      <c r="C48" s="6" t="s">
        <v>12</v>
      </c>
      <c r="D48" s="6" t="s">
        <v>13</v>
      </c>
      <c r="E48" s="6">
        <v>16</v>
      </c>
      <c r="F48" s="6" t="s">
        <v>14</v>
      </c>
      <c r="G48" s="6">
        <v>2926.47</v>
      </c>
      <c r="H48" s="6">
        <v>5230.8130000000001</v>
      </c>
      <c r="I48" s="6">
        <v>1380484</v>
      </c>
      <c r="J48" s="6">
        <v>-2243.2470031100002</v>
      </c>
      <c r="K48" s="6" t="s">
        <v>12</v>
      </c>
      <c r="L48" s="6" t="s">
        <v>22</v>
      </c>
    </row>
    <row r="49" spans="1:13">
      <c r="A49" s="6" t="s">
        <v>24</v>
      </c>
      <c r="B49" s="6" t="s">
        <v>22</v>
      </c>
      <c r="C49" s="6" t="s">
        <v>15</v>
      </c>
      <c r="D49" s="6" t="s">
        <v>13</v>
      </c>
      <c r="E49" s="6">
        <v>24</v>
      </c>
      <c r="F49" s="6" t="s">
        <v>14</v>
      </c>
      <c r="G49" s="6">
        <v>4217.8010000000004</v>
      </c>
      <c r="H49" s="6">
        <v>7597.24</v>
      </c>
      <c r="I49" s="6">
        <v>1381948</v>
      </c>
      <c r="J49" s="6">
        <v>-2172.3296575300001</v>
      </c>
      <c r="K49" s="6" t="s">
        <v>15</v>
      </c>
      <c r="L49" s="6" t="s">
        <v>22</v>
      </c>
      <c r="M49">
        <f t="shared" si="0"/>
        <v>0.81587673281273965</v>
      </c>
    </row>
    <row r="50" spans="1:13">
      <c r="A50" s="7" t="s">
        <v>27</v>
      </c>
      <c r="B50" s="7" t="s">
        <v>11</v>
      </c>
      <c r="C50" s="7" t="s">
        <v>12</v>
      </c>
      <c r="D50" s="7" t="s">
        <v>13</v>
      </c>
      <c r="E50" s="7">
        <v>19</v>
      </c>
      <c r="F50" s="7" t="s">
        <v>14</v>
      </c>
      <c r="G50" s="7">
        <v>4649.08</v>
      </c>
      <c r="H50" s="7">
        <v>8444.8150000000005</v>
      </c>
      <c r="I50" s="7">
        <v>1941412</v>
      </c>
      <c r="J50" s="7">
        <v>-616.46880634000001</v>
      </c>
      <c r="K50" s="7" t="s">
        <v>12</v>
      </c>
      <c r="L50" s="7" t="s">
        <v>11</v>
      </c>
    </row>
    <row r="51" spans="1:13">
      <c r="A51" s="7" t="s">
        <v>27</v>
      </c>
      <c r="B51" s="7" t="s">
        <v>11</v>
      </c>
      <c r="C51" s="7" t="s">
        <v>15</v>
      </c>
      <c r="D51" s="7" t="s">
        <v>13</v>
      </c>
      <c r="E51" s="7">
        <v>17</v>
      </c>
      <c r="F51" s="7" t="s">
        <v>14</v>
      </c>
      <c r="G51" s="7">
        <v>4272.8419999999996</v>
      </c>
      <c r="H51" s="7">
        <v>7748.8370000000004</v>
      </c>
      <c r="I51" s="7">
        <v>1938796</v>
      </c>
      <c r="J51" s="7">
        <v>-596.41082244999996</v>
      </c>
      <c r="K51" s="7" t="s">
        <v>15</v>
      </c>
      <c r="L51" s="7" t="s">
        <v>11</v>
      </c>
      <c r="M51">
        <f t="shared" si="0"/>
        <v>0.79333369187509106</v>
      </c>
    </row>
    <row r="52" spans="1:13">
      <c r="A52" s="7" t="s">
        <v>27</v>
      </c>
      <c r="B52" s="7" t="s">
        <v>16</v>
      </c>
      <c r="C52" s="7" t="s">
        <v>12</v>
      </c>
      <c r="D52" s="7" t="s">
        <v>13</v>
      </c>
      <c r="E52" s="7">
        <v>50</v>
      </c>
      <c r="F52" s="7" t="s">
        <v>14</v>
      </c>
      <c r="G52" s="7">
        <v>7853.1629999999996</v>
      </c>
      <c r="H52" s="7">
        <v>14424.869000000001</v>
      </c>
      <c r="I52" s="7">
        <v>1269948</v>
      </c>
      <c r="J52" s="7">
        <v>-216.86595682000001</v>
      </c>
      <c r="K52" s="7" t="s">
        <v>12</v>
      </c>
      <c r="L52" s="7" t="s">
        <v>16</v>
      </c>
    </row>
    <row r="53" spans="1:13">
      <c r="A53" s="7" t="s">
        <v>27</v>
      </c>
      <c r="B53" s="7" t="s">
        <v>16</v>
      </c>
      <c r="C53" s="7" t="s">
        <v>15</v>
      </c>
      <c r="D53" s="7" t="s">
        <v>13</v>
      </c>
      <c r="E53" s="7">
        <v>47</v>
      </c>
      <c r="F53" s="7" t="s">
        <v>14</v>
      </c>
      <c r="G53" s="7">
        <v>8213.7890000000007</v>
      </c>
      <c r="H53" s="7">
        <v>15098.855</v>
      </c>
      <c r="I53" s="7">
        <v>1272728</v>
      </c>
      <c r="J53" s="7">
        <v>-209.03646560000001</v>
      </c>
      <c r="K53" s="7" t="s">
        <v>15</v>
      </c>
      <c r="L53" s="7" t="s">
        <v>16</v>
      </c>
      <c r="M53">
        <f t="shared" si="0"/>
        <v>1.0524300693749922</v>
      </c>
    </row>
    <row r="54" spans="1:13">
      <c r="A54" s="7" t="s">
        <v>27</v>
      </c>
      <c r="B54" s="7" t="s">
        <v>17</v>
      </c>
      <c r="C54" s="7" t="s">
        <v>12</v>
      </c>
      <c r="D54" s="7" t="s">
        <v>13</v>
      </c>
      <c r="E54" s="7">
        <v>16</v>
      </c>
      <c r="F54" s="7" t="s">
        <v>14</v>
      </c>
      <c r="G54" s="7">
        <v>3820.4259999999999</v>
      </c>
      <c r="H54" s="7">
        <v>6901.55</v>
      </c>
      <c r="I54" s="7">
        <v>1569500</v>
      </c>
      <c r="J54" s="7">
        <v>-1596.0761226499999</v>
      </c>
      <c r="K54" s="7" t="s">
        <v>12</v>
      </c>
      <c r="L54" s="7" t="s">
        <v>17</v>
      </c>
    </row>
    <row r="55" spans="1:13">
      <c r="A55" s="7" t="s">
        <v>27</v>
      </c>
      <c r="B55" s="7" t="s">
        <v>17</v>
      </c>
      <c r="C55" s="7" t="s">
        <v>15</v>
      </c>
      <c r="D55" s="7" t="s">
        <v>13</v>
      </c>
      <c r="E55" s="7">
        <v>16</v>
      </c>
      <c r="F55" s="7" t="s">
        <v>14</v>
      </c>
      <c r="G55" s="7">
        <v>3794.3009999999999</v>
      </c>
      <c r="H55" s="7">
        <v>6844.0789999999997</v>
      </c>
      <c r="I55" s="7">
        <v>1553924</v>
      </c>
      <c r="J55" s="7">
        <v>-1545.88078387</v>
      </c>
      <c r="K55" s="7" t="s">
        <v>15</v>
      </c>
      <c r="L55" s="7" t="s">
        <v>17</v>
      </c>
      <c r="M55">
        <f t="shared" si="0"/>
        <v>0.3179599471873189</v>
      </c>
    </row>
    <row r="56" spans="1:13">
      <c r="A56" s="7" t="s">
        <v>27</v>
      </c>
      <c r="B56" s="7" t="s">
        <v>18</v>
      </c>
      <c r="C56" s="7" t="s">
        <v>12</v>
      </c>
      <c r="D56" s="7" t="s">
        <v>13</v>
      </c>
      <c r="E56" s="7">
        <v>16</v>
      </c>
      <c r="F56" s="7" t="s">
        <v>14</v>
      </c>
      <c r="G56" s="7">
        <v>3842.9630000000002</v>
      </c>
      <c r="H56" s="7">
        <v>6945.5060000000003</v>
      </c>
      <c r="I56" s="7">
        <v>1457272</v>
      </c>
      <c r="J56" s="7">
        <v>-348.53857729999999</v>
      </c>
      <c r="K56" s="7" t="s">
        <v>12</v>
      </c>
      <c r="L56" s="7" t="s">
        <v>18</v>
      </c>
    </row>
    <row r="57" spans="1:13">
      <c r="A57" s="7" t="s">
        <v>27</v>
      </c>
      <c r="B57" s="7" t="s">
        <v>18</v>
      </c>
      <c r="C57" s="7" t="s">
        <v>15</v>
      </c>
      <c r="D57" s="7" t="s">
        <v>13</v>
      </c>
      <c r="E57" s="7">
        <v>24</v>
      </c>
      <c r="F57" s="7" t="s">
        <v>14</v>
      </c>
      <c r="G57" s="7">
        <v>4815.951</v>
      </c>
      <c r="H57" s="7">
        <v>8631.4359999999997</v>
      </c>
      <c r="I57" s="7">
        <v>1464588</v>
      </c>
      <c r="J57" s="7">
        <v>-336.37402699</v>
      </c>
      <c r="K57" s="7" t="s">
        <v>15</v>
      </c>
      <c r="L57" s="7" t="s">
        <v>18</v>
      </c>
      <c r="M57">
        <f t="shared" si="0"/>
        <v>1.2727197693749872</v>
      </c>
    </row>
    <row r="58" spans="1:13">
      <c r="A58" s="7" t="s">
        <v>27</v>
      </c>
      <c r="B58" s="7" t="s">
        <v>19</v>
      </c>
      <c r="C58" s="7" t="s">
        <v>12</v>
      </c>
      <c r="D58" s="7" t="s">
        <v>13</v>
      </c>
      <c r="E58" s="7">
        <v>19</v>
      </c>
      <c r="F58" s="7" t="s">
        <v>14</v>
      </c>
      <c r="G58" s="7">
        <v>8990.9590000000007</v>
      </c>
      <c r="H58" s="7">
        <v>16121.228999999999</v>
      </c>
      <c r="I58" s="7">
        <v>2029988</v>
      </c>
      <c r="J58" s="7">
        <v>-412.69568514000002</v>
      </c>
      <c r="K58" s="7" t="s">
        <v>12</v>
      </c>
      <c r="L58" s="7" t="s">
        <v>19</v>
      </c>
    </row>
    <row r="59" spans="1:13">
      <c r="A59" s="7" t="s">
        <v>27</v>
      </c>
      <c r="B59" s="7" t="s">
        <v>19</v>
      </c>
      <c r="C59" s="7" t="s">
        <v>15</v>
      </c>
      <c r="D59" s="7" t="s">
        <v>13</v>
      </c>
      <c r="E59" s="7">
        <v>22</v>
      </c>
      <c r="F59" s="7" t="s">
        <v>14</v>
      </c>
      <c r="G59" s="7">
        <v>11179.977000000001</v>
      </c>
      <c r="H59" s="7">
        <v>20421.523000000001</v>
      </c>
      <c r="I59" s="7">
        <v>2020296</v>
      </c>
      <c r="J59" s="7">
        <v>-398.11938648</v>
      </c>
      <c r="K59" s="7" t="s">
        <v>15</v>
      </c>
      <c r="L59" s="7" t="s">
        <v>19</v>
      </c>
      <c r="M59">
        <f t="shared" si="0"/>
        <v>1.6795584993750481</v>
      </c>
    </row>
    <row r="60" spans="1:13">
      <c r="A60" s="7" t="s">
        <v>27</v>
      </c>
      <c r="B60" s="7" t="s">
        <v>20</v>
      </c>
      <c r="C60" s="7" t="s">
        <v>12</v>
      </c>
      <c r="D60" s="7" t="s">
        <v>13</v>
      </c>
      <c r="E60" s="7">
        <v>18</v>
      </c>
      <c r="F60" s="7" t="s">
        <v>14</v>
      </c>
      <c r="G60" s="7">
        <v>13872.968999999999</v>
      </c>
      <c r="H60" s="7">
        <v>26089.107</v>
      </c>
      <c r="I60" s="7">
        <v>3309648</v>
      </c>
      <c r="J60" s="7">
        <v>-1797.32775853</v>
      </c>
      <c r="K60" s="7" t="s">
        <v>12</v>
      </c>
      <c r="L60" s="7" t="s">
        <v>20</v>
      </c>
    </row>
    <row r="61" spans="1:13">
      <c r="A61" s="7" t="s">
        <v>27</v>
      </c>
      <c r="B61" s="7" t="s">
        <v>20</v>
      </c>
      <c r="C61" s="7" t="s">
        <v>15</v>
      </c>
      <c r="D61" s="7" t="s">
        <v>13</v>
      </c>
      <c r="E61" s="7">
        <v>21</v>
      </c>
      <c r="F61" s="7" t="s">
        <v>14</v>
      </c>
      <c r="G61" s="7">
        <v>14896.924000000001</v>
      </c>
      <c r="H61" s="7">
        <v>28017.018</v>
      </c>
      <c r="I61" s="7">
        <v>3333096</v>
      </c>
      <c r="J61" s="7">
        <v>-1740.9023816199999</v>
      </c>
      <c r="K61" s="7" t="s">
        <v>15</v>
      </c>
      <c r="L61" s="7" t="s">
        <v>20</v>
      </c>
      <c r="M61">
        <f t="shared" si="0"/>
        <v>0.25888445593750475</v>
      </c>
    </row>
    <row r="62" spans="1:13">
      <c r="A62" s="7" t="s">
        <v>27</v>
      </c>
      <c r="B62" s="7" t="s">
        <v>21</v>
      </c>
      <c r="C62" s="7" t="s">
        <v>12</v>
      </c>
      <c r="D62" s="7" t="s">
        <v>13</v>
      </c>
      <c r="E62" s="7">
        <v>16</v>
      </c>
      <c r="F62" s="7" t="s">
        <v>14</v>
      </c>
      <c r="G62" s="7">
        <v>7514.41</v>
      </c>
      <c r="H62" s="7">
        <v>13541.602000000001</v>
      </c>
      <c r="I62" s="7">
        <v>2436320</v>
      </c>
      <c r="J62" s="7">
        <v>-687.46502376000001</v>
      </c>
      <c r="K62" s="7" t="s">
        <v>12</v>
      </c>
      <c r="L62" s="7" t="s">
        <v>21</v>
      </c>
    </row>
    <row r="63" spans="1:13">
      <c r="A63" s="7" t="s">
        <v>27</v>
      </c>
      <c r="B63" s="7" t="s">
        <v>21</v>
      </c>
      <c r="C63" s="7" t="s">
        <v>15</v>
      </c>
      <c r="D63" s="7" t="s">
        <v>13</v>
      </c>
      <c r="E63" s="7">
        <v>21</v>
      </c>
      <c r="F63" s="7" t="s">
        <v>14</v>
      </c>
      <c r="G63" s="7">
        <v>10381.447</v>
      </c>
      <c r="H63" s="7">
        <v>18907.293000000001</v>
      </c>
      <c r="I63" s="7">
        <v>2416524</v>
      </c>
      <c r="J63" s="7">
        <v>-664.7551373</v>
      </c>
      <c r="K63" s="7" t="s">
        <v>15</v>
      </c>
      <c r="L63" s="7" t="s">
        <v>21</v>
      </c>
      <c r="M63">
        <f t="shared" si="0"/>
        <v>1.2266044675000103</v>
      </c>
    </row>
    <row r="64" spans="1:13">
      <c r="A64" s="7" t="s">
        <v>27</v>
      </c>
      <c r="B64" s="7" t="s">
        <v>22</v>
      </c>
      <c r="C64" s="7" t="s">
        <v>12</v>
      </c>
      <c r="D64" s="7" t="s">
        <v>13</v>
      </c>
      <c r="E64" s="7">
        <v>13</v>
      </c>
      <c r="F64" s="7" t="s">
        <v>14</v>
      </c>
      <c r="G64" s="7">
        <v>2471.9580000000001</v>
      </c>
      <c r="H64" s="7">
        <v>4365.8100000000004</v>
      </c>
      <c r="I64" s="7">
        <v>1378500</v>
      </c>
      <c r="J64" s="7">
        <v>-1645.1516430900001</v>
      </c>
      <c r="K64" s="7" t="s">
        <v>12</v>
      </c>
      <c r="L64" s="7" t="s">
        <v>22</v>
      </c>
    </row>
    <row r="65" spans="1:13">
      <c r="A65" s="7" t="s">
        <v>27</v>
      </c>
      <c r="B65" s="7" t="s">
        <v>22</v>
      </c>
      <c r="C65" s="7" t="s">
        <v>15</v>
      </c>
      <c r="D65" s="7" t="s">
        <v>13</v>
      </c>
      <c r="E65" s="7">
        <v>20</v>
      </c>
      <c r="F65" s="7" t="s">
        <v>14</v>
      </c>
      <c r="G65" s="7">
        <v>3701.25</v>
      </c>
      <c r="H65" s="7">
        <v>6642.2939999999999</v>
      </c>
      <c r="I65" s="7">
        <v>1381808</v>
      </c>
      <c r="J65" s="7">
        <v>-1592.87879985</v>
      </c>
      <c r="K65" s="7" t="s">
        <v>15</v>
      </c>
      <c r="L65" s="7" t="s">
        <v>22</v>
      </c>
      <c r="M65">
        <f t="shared" si="0"/>
        <v>0.86185439343762482</v>
      </c>
    </row>
    <row r="66" spans="1:13">
      <c r="A66" s="8" t="s">
        <v>28</v>
      </c>
      <c r="B66" s="8" t="s">
        <v>11</v>
      </c>
      <c r="C66" s="8" t="s">
        <v>12</v>
      </c>
      <c r="D66" s="8" t="s">
        <v>13</v>
      </c>
      <c r="E66" s="8">
        <v>21</v>
      </c>
      <c r="F66" s="8" t="s">
        <v>14</v>
      </c>
      <c r="G66" s="8">
        <v>4966.2340000000004</v>
      </c>
      <c r="H66" s="8">
        <v>8990.3310000000001</v>
      </c>
      <c r="I66" s="8">
        <v>1942856</v>
      </c>
      <c r="J66" s="8">
        <v>938.12163280000004</v>
      </c>
      <c r="K66" s="8" t="s">
        <v>12</v>
      </c>
      <c r="L66" s="8" t="s">
        <v>11</v>
      </c>
    </row>
    <row r="67" spans="1:13">
      <c r="A67" s="8" t="s">
        <v>28</v>
      </c>
      <c r="B67" s="8" t="s">
        <v>11</v>
      </c>
      <c r="C67" s="8" t="s">
        <v>15</v>
      </c>
      <c r="D67" s="8" t="s">
        <v>13</v>
      </c>
      <c r="E67" s="8">
        <v>19</v>
      </c>
      <c r="F67" s="8" t="s">
        <v>14</v>
      </c>
      <c r="G67" s="8">
        <v>4653.009</v>
      </c>
      <c r="H67" s="8">
        <v>8458.4959999999992</v>
      </c>
      <c r="I67" s="8">
        <v>1940108</v>
      </c>
      <c r="J67" s="8">
        <v>909.06891139000004</v>
      </c>
      <c r="K67" s="8" t="s">
        <v>15</v>
      </c>
      <c r="L67" s="8" t="s">
        <v>11</v>
      </c>
      <c r="M67">
        <f>J67-(31/32)*J66</f>
        <v>0.26357961500002602</v>
      </c>
    </row>
    <row r="68" spans="1:13">
      <c r="A68" s="8" t="s">
        <v>28</v>
      </c>
      <c r="B68" s="8" t="s">
        <v>16</v>
      </c>
      <c r="C68" s="8" t="s">
        <v>12</v>
      </c>
      <c r="D68" s="8" t="s">
        <v>13</v>
      </c>
      <c r="E68" s="8">
        <v>27</v>
      </c>
      <c r="F68" s="8" t="s">
        <v>14</v>
      </c>
      <c r="G68" s="8">
        <v>4163.76</v>
      </c>
      <c r="H68" s="8">
        <v>7579.674</v>
      </c>
      <c r="I68" s="8">
        <v>1273464</v>
      </c>
      <c r="J68" s="8">
        <v>-92.113208380000003</v>
      </c>
      <c r="K68" s="8" t="s">
        <v>12</v>
      </c>
      <c r="L68" s="8" t="s">
        <v>16</v>
      </c>
    </row>
    <row r="69" spans="1:13">
      <c r="A69" s="8" t="s">
        <v>28</v>
      </c>
      <c r="B69" s="8" t="s">
        <v>16</v>
      </c>
      <c r="C69" s="8" t="s">
        <v>15</v>
      </c>
      <c r="D69" s="8" t="s">
        <v>13</v>
      </c>
      <c r="E69" s="8">
        <v>25</v>
      </c>
      <c r="F69" s="8" t="s">
        <v>14</v>
      </c>
      <c r="G69" s="8">
        <v>3876.3319999999999</v>
      </c>
      <c r="H69" s="8">
        <v>7083.165</v>
      </c>
      <c r="I69" s="8">
        <v>1271884</v>
      </c>
      <c r="J69" s="8">
        <v>-88.331530639999997</v>
      </c>
      <c r="K69" s="8" t="s">
        <v>15</v>
      </c>
      <c r="L69" s="8" t="s">
        <v>16</v>
      </c>
      <c r="M69">
        <f t="shared" ref="M68:M81" si="1">J69-(31/32)*J68</f>
        <v>0.90313997812501157</v>
      </c>
    </row>
    <row r="70" spans="1:13">
      <c r="A70" s="8" t="s">
        <v>28</v>
      </c>
      <c r="B70" s="8" t="s">
        <v>17</v>
      </c>
      <c r="C70" s="8" t="s">
        <v>12</v>
      </c>
      <c r="D70" s="8" t="s">
        <v>13</v>
      </c>
      <c r="E70" s="8">
        <v>17</v>
      </c>
      <c r="F70" s="8" t="s">
        <v>14</v>
      </c>
      <c r="G70" s="8">
        <v>4082.3539999999998</v>
      </c>
      <c r="H70" s="8">
        <v>7365.0140000000001</v>
      </c>
      <c r="I70" s="8">
        <v>1547432</v>
      </c>
      <c r="J70" s="8">
        <v>1810.7340139999999</v>
      </c>
      <c r="K70" s="8" t="s">
        <v>12</v>
      </c>
      <c r="L70" s="8" t="s">
        <v>17</v>
      </c>
    </row>
    <row r="71" spans="1:13">
      <c r="A71" s="8" t="s">
        <v>28</v>
      </c>
      <c r="B71" s="8" t="s">
        <v>17</v>
      </c>
      <c r="C71" s="8" t="s">
        <v>15</v>
      </c>
      <c r="D71" s="8" t="s">
        <v>13</v>
      </c>
      <c r="E71" s="8">
        <v>17</v>
      </c>
      <c r="F71" s="8" t="s">
        <v>14</v>
      </c>
      <c r="G71" s="8">
        <v>4086.02</v>
      </c>
      <c r="H71" s="8">
        <v>7373.0910000000003</v>
      </c>
      <c r="I71" s="8">
        <v>1559296</v>
      </c>
      <c r="J71" s="8">
        <v>1753.76971091</v>
      </c>
      <c r="K71" s="8" t="s">
        <v>15</v>
      </c>
      <c r="L71" s="8" t="s">
        <v>17</v>
      </c>
      <c r="M71">
        <f t="shared" si="1"/>
        <v>-0.37886515249988406</v>
      </c>
    </row>
    <row r="72" spans="1:13">
      <c r="A72" s="8" t="s">
        <v>28</v>
      </c>
      <c r="B72" s="8" t="s">
        <v>18</v>
      </c>
      <c r="C72" s="8" t="s">
        <v>12</v>
      </c>
      <c r="D72" s="8" t="s">
        <v>13</v>
      </c>
      <c r="E72" s="8">
        <v>19</v>
      </c>
      <c r="F72" s="8" t="s">
        <v>14</v>
      </c>
      <c r="G72" s="8">
        <v>4265.0379999999996</v>
      </c>
      <c r="H72" s="8">
        <v>7679.2790000000005</v>
      </c>
      <c r="I72" s="8">
        <v>1459368</v>
      </c>
      <c r="J72" s="8">
        <v>363.65004105999998</v>
      </c>
      <c r="K72" s="8" t="s">
        <v>12</v>
      </c>
      <c r="L72" s="8" t="s">
        <v>18</v>
      </c>
    </row>
    <row r="73" spans="1:13">
      <c r="A73" s="8" t="s">
        <v>28</v>
      </c>
      <c r="B73" s="8" t="s">
        <v>18</v>
      </c>
      <c r="C73" s="8" t="s">
        <v>15</v>
      </c>
      <c r="D73" s="8" t="s">
        <v>13</v>
      </c>
      <c r="E73" s="8">
        <v>23</v>
      </c>
      <c r="F73" s="8" t="s">
        <v>14</v>
      </c>
      <c r="G73" s="8">
        <v>5124.0680000000002</v>
      </c>
      <c r="H73" s="8">
        <v>9263.2070000000003</v>
      </c>
      <c r="I73" s="8">
        <v>1456424</v>
      </c>
      <c r="J73" s="8">
        <v>353.32158136999999</v>
      </c>
      <c r="K73" s="8" t="s">
        <v>15</v>
      </c>
      <c r="L73" s="8" t="s">
        <v>18</v>
      </c>
      <c r="M73">
        <f t="shared" si="1"/>
        <v>1.0356040931250163</v>
      </c>
    </row>
    <row r="74" spans="1:13">
      <c r="A74" s="8" t="s">
        <v>28</v>
      </c>
      <c r="B74" s="8" t="s">
        <v>19</v>
      </c>
      <c r="C74" s="8" t="s">
        <v>12</v>
      </c>
      <c r="D74" s="8" t="s">
        <v>13</v>
      </c>
      <c r="E74" s="8">
        <v>24</v>
      </c>
      <c r="F74" s="8" t="s">
        <v>14</v>
      </c>
      <c r="G74" s="8">
        <v>10731.569</v>
      </c>
      <c r="H74" s="8">
        <v>19168.754000000001</v>
      </c>
      <c r="I74" s="8">
        <v>2032604</v>
      </c>
      <c r="J74" s="8">
        <v>251.55063479</v>
      </c>
      <c r="K74" s="8" t="s">
        <v>12</v>
      </c>
      <c r="L74" s="8" t="s">
        <v>19</v>
      </c>
    </row>
    <row r="75" spans="1:13">
      <c r="A75" s="8" t="s">
        <v>28</v>
      </c>
      <c r="B75" s="8" t="s">
        <v>19</v>
      </c>
      <c r="C75" s="8" t="s">
        <v>15</v>
      </c>
      <c r="D75" s="8" t="s">
        <v>13</v>
      </c>
      <c r="E75" s="8">
        <v>45</v>
      </c>
      <c r="F75" s="8" t="s">
        <v>14</v>
      </c>
      <c r="G75" s="8">
        <v>19715.008000000002</v>
      </c>
      <c r="H75" s="8">
        <v>35741.875</v>
      </c>
      <c r="I75" s="8">
        <v>2012652</v>
      </c>
      <c r="J75" s="8">
        <v>245.03801673000001</v>
      </c>
      <c r="K75" s="8" t="s">
        <v>15</v>
      </c>
      <c r="L75" s="8" t="s">
        <v>19</v>
      </c>
      <c r="M75">
        <f t="shared" si="1"/>
        <v>1.348339277187506</v>
      </c>
    </row>
    <row r="76" spans="1:13">
      <c r="A76" s="8" t="s">
        <v>28</v>
      </c>
      <c r="B76" s="8" t="s">
        <v>20</v>
      </c>
      <c r="C76" s="8" t="s">
        <v>12</v>
      </c>
      <c r="D76" s="8" t="s">
        <v>13</v>
      </c>
      <c r="E76" s="8">
        <v>22</v>
      </c>
      <c r="F76" s="8" t="s">
        <v>14</v>
      </c>
      <c r="G76" s="8">
        <v>15772.994000000001</v>
      </c>
      <c r="H76" s="8">
        <v>29655.945</v>
      </c>
      <c r="I76" s="8">
        <v>3322052</v>
      </c>
      <c r="J76" s="8">
        <v>1743.9730432700001</v>
      </c>
      <c r="K76" s="8" t="s">
        <v>12</v>
      </c>
      <c r="L76" s="8" t="s">
        <v>20</v>
      </c>
    </row>
    <row r="77" spans="1:13">
      <c r="A77" s="8" t="s">
        <v>28</v>
      </c>
      <c r="B77" s="8" t="s">
        <v>20</v>
      </c>
      <c r="C77" s="8" t="s">
        <v>15</v>
      </c>
      <c r="D77" s="8" t="s">
        <v>13</v>
      </c>
      <c r="E77" s="8">
        <v>17</v>
      </c>
      <c r="F77" s="8" t="s">
        <v>14</v>
      </c>
      <c r="G77" s="8">
        <v>13166.111000000001</v>
      </c>
      <c r="H77" s="8">
        <v>24704.285</v>
      </c>
      <c r="I77" s="8">
        <v>3319900</v>
      </c>
      <c r="J77" s="8">
        <v>1689.17151229</v>
      </c>
      <c r="K77" s="8" t="s">
        <v>15</v>
      </c>
      <c r="L77" s="8" t="s">
        <v>20</v>
      </c>
      <c r="M77">
        <f t="shared" si="1"/>
        <v>-0.30237337781250062</v>
      </c>
    </row>
    <row r="78" spans="1:13">
      <c r="A78" s="8" t="s">
        <v>28</v>
      </c>
      <c r="B78" s="8" t="s">
        <v>21</v>
      </c>
      <c r="C78" s="8" t="s">
        <v>12</v>
      </c>
      <c r="D78" s="8" t="s">
        <v>13</v>
      </c>
      <c r="E78" s="8">
        <v>21</v>
      </c>
      <c r="F78" s="8" t="s">
        <v>14</v>
      </c>
      <c r="G78" s="8">
        <v>9318.3860000000004</v>
      </c>
      <c r="H78" s="8">
        <v>16858.868999999999</v>
      </c>
      <c r="I78" s="8">
        <v>2445640</v>
      </c>
      <c r="J78" s="8">
        <v>829.49576632000003</v>
      </c>
      <c r="K78" s="8" t="s">
        <v>12</v>
      </c>
      <c r="L78" s="8" t="s">
        <v>21</v>
      </c>
    </row>
    <row r="79" spans="1:13">
      <c r="A79" s="8" t="s">
        <v>28</v>
      </c>
      <c r="B79" s="8" t="s">
        <v>21</v>
      </c>
      <c r="C79" s="8" t="s">
        <v>15</v>
      </c>
      <c r="D79" s="8" t="s">
        <v>13</v>
      </c>
      <c r="E79" s="8">
        <v>24</v>
      </c>
      <c r="F79" s="8" t="s">
        <v>14</v>
      </c>
      <c r="G79" s="8">
        <v>11157.406999999999</v>
      </c>
      <c r="H79" s="8">
        <v>20357.756000000001</v>
      </c>
      <c r="I79" s="8">
        <v>2426088</v>
      </c>
      <c r="J79" s="8">
        <v>804.16464823000001</v>
      </c>
      <c r="K79" s="8" t="s">
        <v>15</v>
      </c>
      <c r="L79" s="8" t="s">
        <v>21</v>
      </c>
      <c r="M79">
        <f t="shared" si="1"/>
        <v>0.59062460749998991</v>
      </c>
    </row>
    <row r="80" spans="1:13">
      <c r="A80" s="8" t="s">
        <v>28</v>
      </c>
      <c r="B80" s="8" t="s">
        <v>22</v>
      </c>
      <c r="C80" s="8" t="s">
        <v>12</v>
      </c>
      <c r="D80" s="8" t="s">
        <v>13</v>
      </c>
      <c r="E80" s="8">
        <v>16</v>
      </c>
      <c r="F80" s="8" t="s">
        <v>14</v>
      </c>
      <c r="G80" s="8">
        <v>2919.99</v>
      </c>
      <c r="H80" s="8">
        <v>5220.0749999999998</v>
      </c>
      <c r="I80" s="8">
        <v>1380452</v>
      </c>
      <c r="J80" s="8">
        <v>1721.39332885</v>
      </c>
      <c r="K80" s="8" t="s">
        <v>12</v>
      </c>
      <c r="L80" s="8" t="s">
        <v>22</v>
      </c>
    </row>
    <row r="81" spans="1:13">
      <c r="A81" s="8" t="s">
        <v>28</v>
      </c>
      <c r="B81" s="8" t="s">
        <v>22</v>
      </c>
      <c r="C81" s="8" t="s">
        <v>15</v>
      </c>
      <c r="D81" s="8" t="s">
        <v>13</v>
      </c>
      <c r="E81" s="8">
        <v>24</v>
      </c>
      <c r="F81" s="8" t="s">
        <v>14</v>
      </c>
      <c r="G81" s="8">
        <v>4119.7560000000003</v>
      </c>
      <c r="H81" s="8">
        <v>7383.665</v>
      </c>
      <c r="I81" s="8">
        <v>1384576</v>
      </c>
      <c r="J81" s="8">
        <v>1667.78434122</v>
      </c>
      <c r="K81" s="8" t="s">
        <v>15</v>
      </c>
      <c r="L81" s="8" t="s">
        <v>22</v>
      </c>
      <c r="M81">
        <f t="shared" si="1"/>
        <v>0.18455389656242005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EEB8-EEF4-4984-8929-24F0E5E2A19A}">
  <dimension ref="A1:H12"/>
  <sheetViews>
    <sheetView workbookViewId="0">
      <selection activeCell="D3" sqref="D3"/>
    </sheetView>
  </sheetViews>
  <sheetFormatPr defaultRowHeight="15"/>
  <cols>
    <col min="3" max="3" width="7.7109375" customWidth="1"/>
    <col min="4" max="4" width="11" bestFit="1" customWidth="1"/>
    <col min="6" max="6" width="9.5703125" customWidth="1"/>
  </cols>
  <sheetData>
    <row r="1" spans="1:8" ht="15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5.75">
      <c r="A2" s="1" t="s">
        <v>37</v>
      </c>
      <c r="B2" s="3" cm="1">
        <f t="array" ref="B2">INDEX(raw_data!J:J,(ROW()-1)*2+1) - (31/32)*INDEX(raw_data!J:J,(ROW()-1)*2)</f>
        <v>1.2472974368750016</v>
      </c>
      <c r="C2" s="2" cm="1">
        <f t="array" ref="C2">INDEX(raw_data!J:J,(ROW()-ROW($B$2))*2+18+1) - (31/32)*INDEX(raw_data!J:J,(ROW()-ROW($B$2))*2+18)</f>
        <v>0.64024061499999974</v>
      </c>
      <c r="D2" s="2" cm="1">
        <f t="array" ref="D2">INDEX(raw_data!J:J,(ROW()-ROW($B$2))*2+34+1) - (31/32)*INDEX(raw_data!J:J,(ROW()-ROW($B$2))*2+34)</f>
        <v>0.87690314375004164</v>
      </c>
      <c r="E2" s="2" cm="1">
        <f t="array" ref="E2">INDEX(raw_data!J:J,(ROW()-ROW($B$2))*2+50+1) - (31/32)*INDEX(raw_data!J:J,(ROW()-ROW($B$2))*2+50)</f>
        <v>0.79333369187509106</v>
      </c>
      <c r="F2" s="2" cm="1">
        <f t="array" ref="F2">INDEX(raw_data!J:J,(ROW()-ROW($B$2))*2+66+1) - (31/32)*INDEX(raw_data!J:J,(ROW()-ROW($B$2))*2+66)</f>
        <v>0.26357961500002602</v>
      </c>
      <c r="G2" s="1"/>
      <c r="H2" s="1">
        <v>5</v>
      </c>
    </row>
    <row r="3" spans="1:8" ht="15.75">
      <c r="A3" s="1" t="s">
        <v>38</v>
      </c>
      <c r="B3" s="3" cm="1">
        <f t="array" ref="B3">INDEX(raw_data!J:J,(ROW()-1)*2+1) - (31/32)*INDEX(raw_data!J:J,(ROW()-1)*2)</f>
        <v>0.82845214625001518</v>
      </c>
      <c r="C3" s="2" cm="1">
        <f t="array" ref="C3">INDEX(raw_data!J:J,(ROW()-ROW($B$2))*2+18+1) - (31/32)*INDEX(raw_data!J:J,(ROW()-ROW($B$2))*2+18)</f>
        <v>0.70035169093750937</v>
      </c>
      <c r="D3" s="2" cm="1">
        <f t="array" ref="D3">INDEX(raw_data!J:J,(ROW()-ROW($B$2))*2+34+1) - (31/32)*INDEX(raw_data!J:J,(ROW()-ROW($B$2))*2+34)</f>
        <v>0.84540406468747165</v>
      </c>
      <c r="E3" s="2" cm="1">
        <f t="array" ref="E3">INDEX(raw_data!J:J,(ROW()-ROW($B$2))*2+50+1) - (31/32)*INDEX(raw_data!J:J,(ROW()-ROW($B$2))*2+50)</f>
        <v>1.0524300693749922</v>
      </c>
      <c r="F3" s="2" cm="1">
        <f t="array" ref="F3">INDEX(raw_data!J:J,(ROW()-ROW($B$2))*2+66+1) - (31/32)*INDEX(raw_data!J:J,(ROW()-ROW($B$2))*2+66)</f>
        <v>0.90313997812501157</v>
      </c>
      <c r="G3" s="1"/>
      <c r="H3" s="1">
        <v>7</v>
      </c>
    </row>
    <row r="4" spans="1:8" ht="15.75">
      <c r="A4" s="1" t="s">
        <v>39</v>
      </c>
      <c r="B4" s="3" cm="1">
        <f t="array" ref="B4">INDEX(raw_data!J:J,(ROW()-1)*2+1) - (31/32)*INDEX(raw_data!J:J,(ROW()-1)*2)</f>
        <v>0.83983342656249249</v>
      </c>
      <c r="C4" s="2" cm="1">
        <f t="array" ref="C4">INDEX(raw_data!J:J,(ROW()-ROW($B$2))*2+18+1) - (31/32)*INDEX(raw_data!J:J,(ROW()-ROW($B$2))*2+18)</f>
        <v>0.14167570937499363</v>
      </c>
      <c r="D4" s="2" cm="1">
        <f t="array" ref="D4">INDEX(raw_data!J:J,(ROW()-ROW($B$2))*2+34+1) - (31/32)*INDEX(raw_data!J:J,(ROW()-ROW($B$2))*2+34)</f>
        <v>0.41011784249985794</v>
      </c>
      <c r="E4" s="2" cm="1">
        <f t="array" ref="E4">INDEX(raw_data!J:J,(ROW()-ROW($B$2))*2+50+1) - (31/32)*INDEX(raw_data!J:J,(ROW()-ROW($B$2))*2+50)</f>
        <v>0.3179599471873189</v>
      </c>
      <c r="F4" s="2" cm="1">
        <f t="array" ref="F4">INDEX(raw_data!J:J,(ROW()-ROW($B$2))*2+66+1) - (31/32)*INDEX(raw_data!J:J,(ROW()-ROW($B$2))*2+66)</f>
        <v>-0.37886515249988406</v>
      </c>
      <c r="G4" s="1"/>
      <c r="H4" s="1">
        <v>6</v>
      </c>
    </row>
    <row r="5" spans="1:8" ht="15.75">
      <c r="A5" s="1" t="s">
        <v>40</v>
      </c>
      <c r="B5" s="3" cm="1">
        <f t="array" ref="B5">INDEX(raw_data!J:J,(ROW()-1)*2+1) - (31/32)*INDEX(raw_data!J:J,(ROW()-1)*2)</f>
        <v>1.51420920999999</v>
      </c>
      <c r="C5" s="2" cm="1">
        <f t="array" ref="C5">INDEX(raw_data!J:J,(ROW()-ROW($B$2))*2+18+1) - (31/32)*INDEX(raw_data!J:J,(ROW()-ROW($B$2))*2+18)</f>
        <v>1.0393902971874951</v>
      </c>
      <c r="D5" s="2" cm="1">
        <f t="array" ref="D5">INDEX(raw_data!J:J,(ROW()-ROW($B$2))*2+34+1) - (31/32)*INDEX(raw_data!J:J,(ROW()-ROW($B$2))*2+34)</f>
        <v>1.4007522121875127</v>
      </c>
      <c r="E5" s="2" cm="1">
        <f t="array" ref="E5">INDEX(raw_data!J:J,(ROW()-ROW($B$2))*2+50+1) - (31/32)*INDEX(raw_data!J:J,(ROW()-ROW($B$2))*2+50)</f>
        <v>1.2727197693749872</v>
      </c>
      <c r="F5" s="2" cm="1">
        <f t="array" ref="F5">INDEX(raw_data!J:J,(ROW()-ROW($B$2))*2+66+1) - (31/32)*INDEX(raw_data!J:J,(ROW()-ROW($B$2))*2+66)</f>
        <v>1.0356040931250163</v>
      </c>
      <c r="G5" s="1"/>
      <c r="H5" s="1">
        <v>4</v>
      </c>
    </row>
    <row r="6" spans="1:8" ht="15.75">
      <c r="A6" s="1" t="s">
        <v>41</v>
      </c>
      <c r="B6" s="3" cm="1">
        <f t="array" ref="B6">INDEX(raw_data!J:J,(ROW()-1)*2+1) - (31/32)*INDEX(raw_data!J:J,(ROW()-1)*2)</f>
        <v>2.0338667328124984</v>
      </c>
      <c r="C6" s="2" cm="1">
        <f t="array" ref="C6">INDEX(raw_data!J:J,(ROW()-ROW($B$2))*2+18+1) - (31/32)*INDEX(raw_data!J:J,(ROW()-ROW($B$2))*2+18)</f>
        <v>1.4722999603124833</v>
      </c>
      <c r="D6" s="2" cm="1">
        <f t="array" ref="D6">INDEX(raw_data!J:J,(ROW()-ROW($B$2))*2+34+1) - (31/32)*INDEX(raw_data!J:J,(ROW()-ROW($B$2))*2+34)</f>
        <v>1.758861938125051</v>
      </c>
      <c r="E6" s="2" cm="1">
        <f t="array" ref="E6">INDEX(raw_data!J:J,(ROW()-ROW($B$2))*2+50+1) - (31/32)*INDEX(raw_data!J:J,(ROW()-ROW($B$2))*2+50)</f>
        <v>1.6795584993750481</v>
      </c>
      <c r="F6" s="2" cm="1">
        <f t="array" ref="F6">INDEX(raw_data!J:J,(ROW()-ROW($B$2))*2+66+1) - (31/32)*INDEX(raw_data!J:J,(ROW()-ROW($B$2))*2+66)</f>
        <v>1.348339277187506</v>
      </c>
      <c r="G6" s="1"/>
      <c r="H6" s="1">
        <v>1</v>
      </c>
    </row>
    <row r="7" spans="1:8" ht="15.75">
      <c r="A7" s="1" t="s">
        <v>42</v>
      </c>
      <c r="B7" s="3" cm="1">
        <f t="array" ref="B7">INDEX(raw_data!J:J,(ROW()-1)*2+1) - (31/32)*INDEX(raw_data!J:J,(ROW()-1)*2)</f>
        <v>0.62163617906250579</v>
      </c>
      <c r="C7" s="2" cm="1">
        <f t="array" ref="C7">INDEX(raw_data!J:J,(ROW()-ROW($B$2))*2+18+1) - (31/32)*INDEX(raw_data!J:J,(ROW()-ROW($B$2))*2+18)</f>
        <v>0.21830490156250448</v>
      </c>
      <c r="D7" s="2" cm="1">
        <f t="array" ref="D7">INDEX(raw_data!J:J,(ROW()-ROW($B$2))*2+34+1) - (31/32)*INDEX(raw_data!J:J,(ROW()-ROW($B$2))*2+34)</f>
        <v>0.26792213093722239</v>
      </c>
      <c r="E7" s="2" cm="1">
        <f t="array" ref="E7">INDEX(raw_data!J:J,(ROW()-ROW($B$2))*2+50+1) - (31/32)*INDEX(raw_data!J:J,(ROW()-ROW($B$2))*2+50)</f>
        <v>0.25888445593750475</v>
      </c>
      <c r="F7" s="2" cm="1">
        <f t="array" ref="F7">INDEX(raw_data!J:J,(ROW()-ROW($B$2))*2+66+1) - (31/32)*INDEX(raw_data!J:J,(ROW()-ROW($B$2))*2+66)</f>
        <v>-0.30237337781250062</v>
      </c>
      <c r="G7" s="1"/>
      <c r="H7" s="1">
        <v>8</v>
      </c>
    </row>
    <row r="8" spans="1:8" ht="15.75">
      <c r="A8" s="1" t="s">
        <v>43</v>
      </c>
      <c r="B8" s="3" cm="1">
        <f t="array" ref="B8">INDEX(raw_data!J:J,(ROW()-1)*2+1) - (31/32)*INDEX(raw_data!J:J,(ROW()-1)*2)</f>
        <v>1.7798204803125088</v>
      </c>
      <c r="C8" s="2" cm="1">
        <f t="array" ref="C8">INDEX(raw_data!J:J,(ROW()-ROW($B$2))*2+18+1) - (31/32)*INDEX(raw_data!J:J,(ROW()-ROW($B$2))*2+18)</f>
        <v>1.0688495378124969</v>
      </c>
      <c r="D8" s="2" cm="1">
        <f t="array" ref="D8">INDEX(raw_data!J:J,(ROW()-ROW($B$2))*2+34+1) - (31/32)*INDEX(raw_data!J:J,(ROW()-ROW($B$2))*2+34)</f>
        <v>1.3237292821875144</v>
      </c>
      <c r="E8" s="2" cm="1">
        <f t="array" ref="E8">INDEX(raw_data!J:J,(ROW()-ROW($B$2))*2+50+1) - (31/32)*INDEX(raw_data!J:J,(ROW()-ROW($B$2))*2+50)</f>
        <v>1.2266044675000103</v>
      </c>
      <c r="F8" s="2" cm="1">
        <f t="array" ref="F8">INDEX(raw_data!J:J,(ROW()-ROW($B$2))*2+66+1) - (31/32)*INDEX(raw_data!J:J,(ROW()-ROW($B$2))*2+66)</f>
        <v>0.59062460749998991</v>
      </c>
      <c r="G8" s="1"/>
      <c r="H8" s="1">
        <v>2</v>
      </c>
    </row>
    <row r="9" spans="1:8" ht="15.75">
      <c r="A9" s="1" t="s">
        <v>44</v>
      </c>
      <c r="B9" s="3" cm="1">
        <f t="array" ref="B9">INDEX(raw_data!J:J,(ROW()-1)*2+1) - (31/32)*INDEX(raw_data!J:J,(ROW()-1)*2)</f>
        <v>1.4352985546875061</v>
      </c>
      <c r="C9" s="2" cm="1">
        <f t="array" ref="C9">INDEX(raw_data!J:J,(ROW()-ROW($B$2))*2+18+1) - (31/32)*INDEX(raw_data!J:J,(ROW()-ROW($B$2))*2+18)</f>
        <v>0.68162595843750751</v>
      </c>
      <c r="D9" s="2" cm="1">
        <f t="array" ref="D9">INDEX(raw_data!J:J,(ROW()-ROW($B$2))*2+34+1) - (31/32)*INDEX(raw_data!J:J,(ROW()-ROW($B$2))*2+34)</f>
        <v>0.81587673281273965</v>
      </c>
      <c r="E9" s="2" cm="1">
        <f t="array" ref="E9">INDEX(raw_data!J:J,(ROW()-ROW($B$2))*2+50+1) - (31/32)*INDEX(raw_data!J:J,(ROW()-ROW($B$2))*2+50)</f>
        <v>0.86185439343762482</v>
      </c>
      <c r="F9" s="2" cm="1">
        <f t="array" ref="F9">INDEX(raw_data!J:J,(ROW()-ROW($B$2))*2+66+1) - (31/32)*INDEX(raw_data!J:J,(ROW()-ROW($B$2))*2+66)</f>
        <v>0.18455389656242005</v>
      </c>
      <c r="G9" s="1"/>
      <c r="H9" s="1">
        <v>3</v>
      </c>
    </row>
    <row r="10" spans="1:8" ht="15.75">
      <c r="A10" s="1"/>
      <c r="B10" s="3"/>
      <c r="C10" s="1"/>
      <c r="D10" s="1"/>
      <c r="E10" s="1"/>
      <c r="F10" s="1"/>
      <c r="G10" s="1"/>
      <c r="H10" s="1"/>
    </row>
    <row r="11" spans="1:8" ht="15.75">
      <c r="A11" s="1"/>
      <c r="B11" s="3"/>
      <c r="C11" s="1"/>
      <c r="D11" s="1"/>
      <c r="E11" s="1"/>
      <c r="F11" s="1"/>
      <c r="G11" s="1"/>
      <c r="H11" s="1"/>
    </row>
    <row r="12" spans="1:8" ht="15.75">
      <c r="A12" s="1"/>
      <c r="B12" s="3"/>
      <c r="C12" s="1"/>
      <c r="D12" s="1"/>
      <c r="E12" s="1"/>
      <c r="F12" s="1"/>
      <c r="G12" s="1"/>
      <c r="H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E9D9-E94B-4C94-96CB-CA12EC7D8427}">
  <dimension ref="A1:I10"/>
  <sheetViews>
    <sheetView workbookViewId="0">
      <selection activeCell="D9" sqref="D9"/>
    </sheetView>
  </sheetViews>
  <sheetFormatPr defaultRowHeight="15"/>
  <cols>
    <col min="2" max="3" width="10.42578125" bestFit="1" customWidth="1"/>
    <col min="4" max="4" width="11.42578125" bestFit="1" customWidth="1"/>
    <col min="5" max="6" width="10.42578125" bestFit="1" customWidth="1"/>
    <col min="8" max="8" width="11.42578125" bestFit="1" customWidth="1"/>
    <col min="9" max="9" width="11.42578125" customWidth="1"/>
    <col min="10" max="10" width="11.42578125" bestFit="1" customWidth="1"/>
  </cols>
  <sheetData>
    <row r="1" spans="1:9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45</v>
      </c>
      <c r="H1" s="12" t="s">
        <v>46</v>
      </c>
      <c r="I1" s="12" t="s">
        <v>47</v>
      </c>
    </row>
    <row r="2" spans="1:9">
      <c r="A2" s="12" t="s">
        <v>41</v>
      </c>
      <c r="B2" s="13">
        <v>2.0338667328124984</v>
      </c>
      <c r="C2" s="13">
        <v>1.4722999603124833</v>
      </c>
      <c r="D2" s="13">
        <v>1.758861938125051</v>
      </c>
      <c r="E2" s="13">
        <v>1.6795584993750481</v>
      </c>
      <c r="F2" s="13">
        <v>1.348339277187506</v>
      </c>
      <c r="G2" s="12">
        <v>1.8</v>
      </c>
      <c r="H2" s="14">
        <v>0.23496141156248201</v>
      </c>
      <c r="I2" s="14">
        <v>0.23760734648278525</v>
      </c>
    </row>
    <row r="3" spans="1:9">
      <c r="A3" s="12" t="s">
        <v>43</v>
      </c>
      <c r="B3" s="13">
        <v>1.7798204803125088</v>
      </c>
      <c r="C3" s="13">
        <v>1.0688495378124969</v>
      </c>
      <c r="D3" s="13">
        <v>1.3237292821875144</v>
      </c>
      <c r="E3" s="13">
        <v>1.2266044675000103</v>
      </c>
      <c r="F3" s="13">
        <v>0.59062460749998991</v>
      </c>
      <c r="G3" s="12">
        <v>1.85</v>
      </c>
      <c r="H3" s="14">
        <v>0.65207432493749606</v>
      </c>
      <c r="I3" s="14">
        <v>0.38489630316443174</v>
      </c>
    </row>
    <row r="4" spans="1:9">
      <c r="A4" s="12" t="s">
        <v>44</v>
      </c>
      <c r="B4" s="13">
        <v>1.4352985546875061</v>
      </c>
      <c r="C4" s="13">
        <v>0.68162595843750751</v>
      </c>
      <c r="D4" s="13">
        <v>0.81587673281273965</v>
      </c>
      <c r="E4" s="13">
        <v>0.86185439343762482</v>
      </c>
      <c r="F4" s="13">
        <v>0.18455389656242005</v>
      </c>
      <c r="G4" s="12">
        <v>1.35</v>
      </c>
      <c r="H4" s="14">
        <v>0.58827751468744283</v>
      </c>
      <c r="I4" s="14">
        <v>0.40009552896615386</v>
      </c>
    </row>
    <row r="5" spans="1:9">
      <c r="A5" s="12" t="s">
        <v>40</v>
      </c>
      <c r="B5" s="13">
        <v>1.51420920999999</v>
      </c>
      <c r="C5" s="13">
        <v>1.0393902971874951</v>
      </c>
      <c r="D5" s="13">
        <v>1.4007522121875127</v>
      </c>
      <c r="E5" s="13">
        <v>1.2727197693749872</v>
      </c>
      <c r="F5" s="13">
        <v>1.0356040931250163</v>
      </c>
      <c r="G5" s="12">
        <v>1.06</v>
      </c>
      <c r="H5" s="14">
        <v>0.21053736024999567</v>
      </c>
      <c r="I5" s="14">
        <v>0.19148829822056754</v>
      </c>
    </row>
    <row r="6" spans="1:9">
      <c r="A6" s="12" t="s">
        <v>37</v>
      </c>
      <c r="B6" s="13">
        <v>1.2472974368750016</v>
      </c>
      <c r="C6" s="13">
        <v>0.64024061499999974</v>
      </c>
      <c r="D6" s="13">
        <v>0.87690314375004164</v>
      </c>
      <c r="E6" s="13">
        <v>0.79333369187509106</v>
      </c>
      <c r="F6" s="13">
        <v>0.26357961500002602</v>
      </c>
      <c r="G6" s="12">
        <v>0.94</v>
      </c>
      <c r="H6" s="14">
        <v>0.29864807424996859</v>
      </c>
      <c r="I6" s="14">
        <v>0.32028755142880821</v>
      </c>
    </row>
    <row r="7" spans="1:9">
      <c r="A7" s="12" t="s">
        <v>39</v>
      </c>
      <c r="B7" s="13">
        <v>0.83983342656249249</v>
      </c>
      <c r="C7" s="13">
        <v>0.14167570937499363</v>
      </c>
      <c r="D7" s="13">
        <v>0.41011784249985794</v>
      </c>
      <c r="E7" s="13">
        <v>0.3179599471873189</v>
      </c>
      <c r="F7" s="13">
        <v>-0.37886515249988406</v>
      </c>
      <c r="G7" s="12">
        <v>0.94</v>
      </c>
      <c r="H7" s="14">
        <v>0.67385564537504417</v>
      </c>
      <c r="I7" s="14">
        <v>0.39599547473065783</v>
      </c>
    </row>
    <row r="8" spans="1:9">
      <c r="A8" s="12" t="s">
        <v>38</v>
      </c>
      <c r="B8" s="13">
        <v>0.82845214625001518</v>
      </c>
      <c r="C8" s="13">
        <v>0.70035169093750937</v>
      </c>
      <c r="D8" s="13">
        <v>0.85</v>
      </c>
      <c r="E8" s="13">
        <v>1.0524300693749922</v>
      </c>
      <c r="F8" s="13">
        <v>0.90313997812501157</v>
      </c>
      <c r="G8" s="12">
        <v>0.67</v>
      </c>
      <c r="H8" s="14">
        <v>47.949534184000008</v>
      </c>
      <c r="I8" s="14">
        <v>95.496949366048142</v>
      </c>
    </row>
    <row r="9" spans="1:9">
      <c r="A9" s="12" t="s">
        <v>42</v>
      </c>
      <c r="B9" s="13">
        <v>0.62163617906250579</v>
      </c>
      <c r="C9" s="13">
        <v>0.21830490156250448</v>
      </c>
      <c r="D9" s="13">
        <v>0.26792213093722239</v>
      </c>
      <c r="E9" s="13">
        <v>0.25888445593750475</v>
      </c>
      <c r="F9" s="13">
        <v>-0.30237337781250062</v>
      </c>
      <c r="G9" s="12">
        <v>0.57999999999999996</v>
      </c>
      <c r="H9" s="14">
        <v>0.38377961368755492</v>
      </c>
      <c r="I9" s="14">
        <v>0.29588617163968506</v>
      </c>
    </row>
    <row r="10" spans="1:9">
      <c r="A10" s="12"/>
      <c r="B10" s="14">
        <v>0.18138829410156401</v>
      </c>
      <c r="C10" s="14">
        <v>0.41099558890625359</v>
      </c>
      <c r="D10" s="14">
        <v>30.161329772148399</v>
      </c>
      <c r="E10" s="14">
        <v>0.36461929792967274</v>
      </c>
      <c r="F10" s="14">
        <v>0.7514596273828047</v>
      </c>
      <c r="G10" s="12"/>
      <c r="H10" s="12"/>
      <c r="I10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F71F-C431-48AF-A501-AAE7CE4C1538}">
  <dimension ref="A1:G9"/>
  <sheetViews>
    <sheetView workbookViewId="0">
      <selection activeCell="G9" sqref="A1:G9"/>
    </sheetView>
  </sheetViews>
  <sheetFormatPr defaultRowHeight="15"/>
  <sheetData>
    <row r="1" spans="1:7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45</v>
      </c>
    </row>
    <row r="2" spans="1:7">
      <c r="A2" s="12" t="s">
        <v>41</v>
      </c>
      <c r="B2" s="13">
        <v>2.0338667328124984</v>
      </c>
      <c r="C2" s="13">
        <v>1.4722999603124833</v>
      </c>
      <c r="D2" s="13">
        <v>1.758861938125051</v>
      </c>
      <c r="E2" s="13">
        <v>1.6795584993750481</v>
      </c>
      <c r="F2" s="13">
        <v>1.348339277187506</v>
      </c>
      <c r="G2" s="12">
        <v>1.8</v>
      </c>
    </row>
    <row r="3" spans="1:7">
      <c r="A3" s="12" t="s">
        <v>43</v>
      </c>
      <c r="B3" s="13">
        <v>1.7798204803125088</v>
      </c>
      <c r="C3" s="13">
        <v>1.0688495378124969</v>
      </c>
      <c r="D3" s="13">
        <v>1.3237292821875144</v>
      </c>
      <c r="E3" s="13">
        <v>1.2266044675000103</v>
      </c>
      <c r="F3" s="13">
        <v>0.59062460749998991</v>
      </c>
      <c r="G3" s="12">
        <v>1.85</v>
      </c>
    </row>
    <row r="4" spans="1:7">
      <c r="A4" s="12" t="s">
        <v>44</v>
      </c>
      <c r="B4" s="13">
        <v>1.4352985546875061</v>
      </c>
      <c r="C4" s="13">
        <v>0.68162595843750751</v>
      </c>
      <c r="D4" s="13">
        <v>0.81587673281273965</v>
      </c>
      <c r="E4" s="13">
        <v>0.86185439343762482</v>
      </c>
      <c r="F4" s="13">
        <v>0.18455389656242005</v>
      </c>
      <c r="G4" s="12">
        <v>1.35</v>
      </c>
    </row>
    <row r="5" spans="1:7">
      <c r="A5" s="12" t="s">
        <v>40</v>
      </c>
      <c r="B5" s="13">
        <v>1.51420920999999</v>
      </c>
      <c r="C5" s="13">
        <v>1.0393902971874951</v>
      </c>
      <c r="D5" s="13">
        <v>1.4007522121875127</v>
      </c>
      <c r="E5" s="13">
        <v>1.2727197693749872</v>
      </c>
      <c r="F5" s="13">
        <v>1.0356040931250163</v>
      </c>
      <c r="G5" s="12">
        <v>1.06</v>
      </c>
    </row>
    <row r="6" spans="1:7">
      <c r="A6" s="12" t="s">
        <v>37</v>
      </c>
      <c r="B6" s="13">
        <v>1.2472974368750016</v>
      </c>
      <c r="C6" s="13">
        <v>0.64024061499999974</v>
      </c>
      <c r="D6" s="13">
        <v>0.87690314375004164</v>
      </c>
      <c r="E6" s="13">
        <v>0.79333369187509106</v>
      </c>
      <c r="F6" s="13">
        <v>0.26357961500002602</v>
      </c>
      <c r="G6" s="12">
        <v>0.94</v>
      </c>
    </row>
    <row r="7" spans="1:7">
      <c r="A7" s="12" t="s">
        <v>39</v>
      </c>
      <c r="B7" s="13">
        <v>0.83983342656249249</v>
      </c>
      <c r="C7" s="13">
        <v>0.14167570937499363</v>
      </c>
      <c r="D7" s="13">
        <v>0.41011784249985794</v>
      </c>
      <c r="E7" s="13">
        <v>0.3179599471873189</v>
      </c>
      <c r="F7" s="13">
        <v>-0.37886515249988406</v>
      </c>
      <c r="G7" s="12">
        <v>0.94</v>
      </c>
    </row>
    <row r="8" spans="1:7">
      <c r="A8" s="12" t="s">
        <v>38</v>
      </c>
      <c r="B8" s="13">
        <v>0.82845214625001518</v>
      </c>
      <c r="C8" s="13">
        <v>0.70035169093750937</v>
      </c>
      <c r="D8" s="13">
        <v>0.84540406468747165</v>
      </c>
      <c r="E8" s="13">
        <v>1.0524300693749922</v>
      </c>
      <c r="F8" s="13">
        <v>0.90313997812501157</v>
      </c>
      <c r="G8" s="12">
        <v>0.67</v>
      </c>
    </row>
    <row r="9" spans="1:7">
      <c r="A9" s="12" t="s">
        <v>42</v>
      </c>
      <c r="B9" s="13">
        <v>0.62163617906250579</v>
      </c>
      <c r="C9" s="13">
        <v>0.21830490156250448</v>
      </c>
      <c r="D9" s="13">
        <v>0.26792213093722239</v>
      </c>
      <c r="E9" s="13">
        <v>0.25888445593750475</v>
      </c>
      <c r="F9" s="13">
        <v>-0.30237337781250062</v>
      </c>
      <c r="G9" s="12">
        <v>0.57999999999999996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8D7D-B0E2-428D-8B6A-0DCFA851714B}">
  <dimension ref="A1:K10"/>
  <sheetViews>
    <sheetView workbookViewId="0">
      <selection activeCell="K1" sqref="K1:K1048576"/>
    </sheetView>
  </sheetViews>
  <sheetFormatPr defaultRowHeight="15"/>
  <cols>
    <col min="2" max="3" width="10.42578125" bestFit="1" customWidth="1"/>
    <col min="4" max="4" width="11.42578125" bestFit="1" customWidth="1"/>
    <col min="5" max="6" width="10.42578125" bestFit="1" customWidth="1"/>
  </cols>
  <sheetData>
    <row r="1" spans="1:11" ht="15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0" t="s">
        <v>35</v>
      </c>
      <c r="H1" s="9" t="s">
        <v>45</v>
      </c>
      <c r="I1" s="9" t="s">
        <v>47</v>
      </c>
      <c r="J1" s="9" t="s">
        <v>46</v>
      </c>
      <c r="K1" s="1" t="s">
        <v>36</v>
      </c>
    </row>
    <row r="2" spans="1:11" ht="15.75">
      <c r="A2" s="1" t="s">
        <v>41</v>
      </c>
      <c r="B2" s="3">
        <v>2.0338667328124984</v>
      </c>
      <c r="C2" s="2">
        <v>1.4722999603124833</v>
      </c>
      <c r="D2" s="2">
        <v>1.758861938125051</v>
      </c>
      <c r="E2" s="2">
        <v>1.6795584993750481</v>
      </c>
      <c r="F2" s="2">
        <v>1.348339277187506</v>
      </c>
      <c r="G2" s="10" t="s">
        <v>48</v>
      </c>
      <c r="H2" s="9">
        <v>1.8</v>
      </c>
      <c r="I2" s="11">
        <f>_xlfn.STDEV.P(B2:F2)</f>
        <v>0.23760734648278525</v>
      </c>
      <c r="J2" s="11">
        <f>AVERAGE(ABS(B2-$H2),ABS(C2-$H2),ABS(D2-$H2),ABS(E2-$H2),ABS(F2-$H2))</f>
        <v>0.23496141156248201</v>
      </c>
      <c r="K2" s="1">
        <v>1</v>
      </c>
    </row>
    <row r="3" spans="1:11" ht="15.75">
      <c r="A3" s="1" t="s">
        <v>43</v>
      </c>
      <c r="B3" s="3">
        <v>1.7798204803125088</v>
      </c>
      <c r="C3" s="2">
        <v>1.0688495378124969</v>
      </c>
      <c r="D3" s="2">
        <v>1.3237292821875144</v>
      </c>
      <c r="E3" s="2">
        <v>1.2266044675000103</v>
      </c>
      <c r="F3" s="2">
        <v>0.59062460749998991</v>
      </c>
      <c r="G3" s="10" t="s">
        <v>49</v>
      </c>
      <c r="H3" s="9">
        <v>1.85</v>
      </c>
      <c r="I3" s="11">
        <f>_xlfn.STDEV.P(B3:F3)</f>
        <v>0.38489630316443174</v>
      </c>
      <c r="J3" s="11">
        <f>AVERAGE(ABS(B3-$H3),ABS(C3-$H3),ABS(D3-$H3),ABS(E3-$H3),ABS(F3-$H3))</f>
        <v>0.65207432493749606</v>
      </c>
      <c r="K3" s="1">
        <v>2</v>
      </c>
    </row>
    <row r="4" spans="1:11" ht="15.75">
      <c r="A4" s="1" t="s">
        <v>44</v>
      </c>
      <c r="B4" s="3">
        <v>1.4352985546875061</v>
      </c>
      <c r="C4" s="2">
        <v>0.68162595843750751</v>
      </c>
      <c r="D4" s="2">
        <v>0.81587673281273965</v>
      </c>
      <c r="E4" s="2">
        <v>0.86185439343762482</v>
      </c>
      <c r="F4" s="2">
        <v>0.18455389656242005</v>
      </c>
      <c r="G4" s="10" t="s">
        <v>50</v>
      </c>
      <c r="H4" s="9">
        <v>1.35</v>
      </c>
      <c r="I4" s="11">
        <f>_xlfn.STDEV.P(B4:F4)</f>
        <v>0.40009552896615386</v>
      </c>
      <c r="J4" s="11">
        <f>AVERAGE(ABS(B4-$H4),ABS(C4-$H4),ABS(D4-$H4),ABS(E4-$H4),ABS(F4-$H4))</f>
        <v>0.58827751468744283</v>
      </c>
      <c r="K4" s="1">
        <v>3</v>
      </c>
    </row>
    <row r="5" spans="1:11" ht="15.75">
      <c r="A5" s="1" t="s">
        <v>40</v>
      </c>
      <c r="B5" s="3">
        <v>1.51420920999999</v>
      </c>
      <c r="C5" s="2">
        <v>1.0393902971874951</v>
      </c>
      <c r="D5" s="2">
        <v>1.4007522121875127</v>
      </c>
      <c r="E5" s="2">
        <v>1.2727197693749872</v>
      </c>
      <c r="F5" s="2">
        <v>1.0356040931250163</v>
      </c>
      <c r="G5" s="10" t="s">
        <v>51</v>
      </c>
      <c r="H5" s="9">
        <v>1.06</v>
      </c>
      <c r="I5" s="11">
        <f>_xlfn.STDEV.P(B5:F5)</f>
        <v>0.19148829822056754</v>
      </c>
      <c r="J5" s="11">
        <f>AVERAGE(ABS(B5-$H5),ABS(C5-$H5),ABS(D5-$H5),ABS(E5-$H5),ABS(F5-$H5))</f>
        <v>0.21053736024999567</v>
      </c>
      <c r="K5" s="1">
        <v>4</v>
      </c>
    </row>
    <row r="6" spans="1:11" ht="15.75">
      <c r="A6" s="1" t="s">
        <v>37</v>
      </c>
      <c r="B6" s="3">
        <v>1.2472974368750016</v>
      </c>
      <c r="C6" s="2">
        <v>0.64024061499999974</v>
      </c>
      <c r="D6" s="2">
        <v>0.87690314375004164</v>
      </c>
      <c r="E6" s="2">
        <v>0.79333369187509106</v>
      </c>
      <c r="F6" s="2">
        <v>0.26357961500002602</v>
      </c>
      <c r="G6" s="10" t="s">
        <v>52</v>
      </c>
      <c r="H6" s="9">
        <v>0.94</v>
      </c>
      <c r="I6" s="11">
        <f>_xlfn.STDEV.P(B6:F6)</f>
        <v>0.32028755142880821</v>
      </c>
      <c r="J6" s="11">
        <f>AVERAGE(ABS(B6-$H6),ABS(C6-$H6),ABS(D6-$H6),ABS(E6-$H6),ABS(F6-$H6))</f>
        <v>0.29864807424996859</v>
      </c>
      <c r="K6" s="1">
        <v>5</v>
      </c>
    </row>
    <row r="7" spans="1:11" ht="15.75">
      <c r="A7" s="1" t="s">
        <v>39</v>
      </c>
      <c r="B7" s="3">
        <v>0.83983342656249249</v>
      </c>
      <c r="C7" s="2">
        <v>0.14167570937499363</v>
      </c>
      <c r="D7" s="2">
        <v>0.41011784249985794</v>
      </c>
      <c r="E7" s="2">
        <v>0.3179599471873189</v>
      </c>
      <c r="F7" s="2">
        <v>-0.37886515249988406</v>
      </c>
      <c r="G7" s="10" t="s">
        <v>53</v>
      </c>
      <c r="H7" s="9">
        <v>0.94</v>
      </c>
      <c r="I7" s="11">
        <f>_xlfn.STDEV.P(B7:F7)</f>
        <v>0.39599547473065783</v>
      </c>
      <c r="J7" s="11">
        <f>AVERAGE(ABS(B7-$H7),ABS(C7-$H7),ABS(D7-$H7),ABS(E7-$H7),ABS(F7-$H7))</f>
        <v>0.67385564537504417</v>
      </c>
      <c r="K7" s="1">
        <v>6</v>
      </c>
    </row>
    <row r="8" spans="1:11" ht="15.75">
      <c r="A8" s="1" t="s">
        <v>38</v>
      </c>
      <c r="B8" s="3">
        <v>0.82845214625001518</v>
      </c>
      <c r="C8" s="2">
        <v>0.70035169093750937</v>
      </c>
      <c r="D8" s="2">
        <v>0.84540406468747198</v>
      </c>
      <c r="E8" s="2">
        <v>1.0524300693749922</v>
      </c>
      <c r="F8" s="2">
        <v>0.90313997812501157</v>
      </c>
      <c r="G8" s="10" t="s">
        <v>54</v>
      </c>
      <c r="H8" s="9">
        <v>0.67</v>
      </c>
      <c r="I8" s="11">
        <f t="shared" ref="I3:I9" si="0">_xlfn.STDEV.P(B8:F8)</f>
        <v>0.11437563993166203</v>
      </c>
      <c r="J8" s="11">
        <f>AVERAGE(ABS(B8-$H8),ABS(C8-$H8),ABS(D8-$H8),ABS(E8-$H8),ABS(F8-$H8))</f>
        <v>0.195955589875</v>
      </c>
      <c r="K8" s="1">
        <v>7</v>
      </c>
    </row>
    <row r="9" spans="1:11" ht="15.75">
      <c r="A9" s="1" t="s">
        <v>42</v>
      </c>
      <c r="B9" s="3">
        <v>0.62163617906250579</v>
      </c>
      <c r="C9" s="2">
        <v>0.21830490156250448</v>
      </c>
      <c r="D9" s="2">
        <v>0.26792213093722239</v>
      </c>
      <c r="E9" s="2">
        <v>0.25888445593750475</v>
      </c>
      <c r="F9" s="2">
        <v>-0.30237337781250062</v>
      </c>
      <c r="G9" s="10" t="s">
        <v>55</v>
      </c>
      <c r="H9" s="9">
        <v>0.57999999999999996</v>
      </c>
      <c r="I9" s="11">
        <f>_xlfn.STDEV.P(B9:F9)</f>
        <v>0.29588617163968506</v>
      </c>
      <c r="J9" s="11">
        <f>AVERAGE(ABS(B9-$H9),ABS(C9-$H9),ABS(D9-$H9),ABS(E9-$H9),ABS(F9-$H9))</f>
        <v>0.38377961368755492</v>
      </c>
      <c r="K9" s="1">
        <v>8</v>
      </c>
    </row>
    <row r="10" spans="1:11">
      <c r="A10" t="s">
        <v>56</v>
      </c>
      <c r="B10" s="11" cm="1">
        <f t="array" ref="B10">AVERAGE(ABS(B2:B9 - $H$2:$H$9))</f>
        <v>0.18138829410156443</v>
      </c>
      <c r="C10" s="11" cm="1">
        <f t="array" ref="C10">AVERAGE(ABS(C2:C9 - $H$2:$H$9))</f>
        <v>0.41099558890625359</v>
      </c>
      <c r="D10" s="11" cm="1">
        <f t="array" ref="D10">AVERAGE(ABS(D2:D9 - $H$2:$H$9))</f>
        <v>0.31534315082031972</v>
      </c>
      <c r="E10" s="11" cm="1">
        <f t="array" ref="E10">AVERAGE(ABS(E2:E9 - $H$2:$H$9))</f>
        <v>0.36461929792967274</v>
      </c>
      <c r="F10" s="11" cm="1">
        <f t="array" ref="F10">AVERAGE(ABS(F2:F9 - $H$2:$H$9))</f>
        <v>0.7514596273828047</v>
      </c>
    </row>
  </sheetData>
  <sortState xmlns:xlrd2="http://schemas.microsoft.com/office/spreadsheetml/2017/richdata2" ref="A2:I19">
    <sortCondition ref="I2:I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2025-09-10T02:06:34Z</dcterms:created>
  <dcterms:modified xsi:type="dcterms:W3CDTF">2025-09-13T03:10:40Z</dcterms:modified>
  <cp:category/>
  <cp:contentStatus/>
</cp:coreProperties>
</file>